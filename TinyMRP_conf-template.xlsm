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2" defaultThemeVersion="166925"/>
  <mc:AlternateContent xmlns:mc="http://schemas.openxmlformats.org/markup-compatibility/2006">
    <mc:Choice Requires="x15">
      <x15ac:absPath xmlns:x15ac="http://schemas.microsoft.com/office/spreadsheetml/2010/11/ac" url="\\192.168.0.161\TinyMRP\"/>
    </mc:Choice>
  </mc:AlternateContent>
  <xr:revisionPtr revIDLastSave="0" documentId="13_ncr:1_{51111B0B-761D-4685-B6C2-951771E36AA7}" xr6:coauthVersionLast="47" xr6:coauthVersionMax="47" xr10:uidLastSave="{00000000-0000-0000-0000-000000000000}"/>
  <bookViews>
    <workbookView xWindow="14700" yWindow="3540" windowWidth="24915" windowHeight="14970" tabRatio="500" activeTab="4" xr2:uid="{00000000-000D-0000-FFFF-FFFF00000000}"/>
  </bookViews>
  <sheets>
    <sheet name="process" sheetId="1" r:id="rId1"/>
    <sheet name="property" sheetId="2" r:id="rId2"/>
    <sheet name="processfields" sheetId="3" r:id="rId3"/>
    <sheet name="files" sheetId="5" r:id="rId4"/>
    <sheet name="variables" sheetId="4" r:id="rId5"/>
  </sheets>
  <definedNames>
    <definedName name="_xlnm._FilterDatabase" localSheetId="0" hidden="1">process!$A$1:$H$23</definedName>
    <definedName name="_xlnm._FilterDatabase" localSheetId="1" hidden="1">property!$A$1:$G$29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32" i="2" l="1"/>
  <c r="G32" i="2"/>
  <c r="G5" i="2"/>
  <c r="C5" i="2"/>
  <c r="G4" i="2"/>
  <c r="C4" i="2"/>
  <c r="G22" i="2"/>
  <c r="C22" i="2"/>
  <c r="G21" i="2"/>
  <c r="C21" i="2"/>
  <c r="G2" i="2"/>
  <c r="G3" i="2"/>
  <c r="G6" i="2"/>
  <c r="G7" i="2"/>
  <c r="G8" i="2"/>
  <c r="G10" i="2"/>
  <c r="G11" i="2"/>
  <c r="G12" i="2"/>
  <c r="G13" i="2"/>
  <c r="G14" i="2"/>
  <c r="G15" i="2"/>
  <c r="G16" i="2"/>
  <c r="G17" i="2"/>
  <c r="G18" i="2"/>
  <c r="G19" i="2"/>
  <c r="G20" i="2"/>
  <c r="G23" i="2"/>
  <c r="G24" i="2"/>
  <c r="G25" i="2"/>
  <c r="G26" i="2"/>
  <c r="G27" i="2"/>
  <c r="G28" i="2"/>
  <c r="G29" i="2"/>
  <c r="G30" i="2"/>
  <c r="G31" i="2"/>
  <c r="G9" i="2"/>
  <c r="A1" i="3" a="1"/>
  <c r="A18" i="3" s="1"/>
  <c r="C31" i="2"/>
  <c r="C30" i="2"/>
  <c r="C29" i="2"/>
  <c r="C28" i="2"/>
  <c r="C27" i="2"/>
  <c r="C26" i="2"/>
  <c r="C25" i="2"/>
  <c r="C24" i="2"/>
  <c r="C23" i="2"/>
  <c r="C20" i="2"/>
  <c r="C19" i="2"/>
  <c r="C18" i="2"/>
  <c r="C17" i="2"/>
  <c r="C16" i="2"/>
  <c r="C15" i="2"/>
  <c r="C14" i="2"/>
  <c r="C12" i="2"/>
  <c r="C10" i="2"/>
  <c r="C9" i="2"/>
  <c r="C8" i="2"/>
  <c r="C6" i="2"/>
  <c r="C3" i="2"/>
  <c r="C2" i="2"/>
  <c r="D2" i="1"/>
  <c r="D3" i="1"/>
  <c r="D21" i="1"/>
  <c r="D11" i="1"/>
  <c r="D19" i="1"/>
  <c r="D12" i="1"/>
  <c r="D4" i="1"/>
  <c r="D14" i="1"/>
  <c r="D9" i="1"/>
  <c r="D20" i="1"/>
  <c r="D22" i="1"/>
  <c r="D13" i="1"/>
  <c r="D23" i="1"/>
  <c r="D17" i="1"/>
  <c r="D6" i="1"/>
  <c r="D5" i="1"/>
  <c r="D15" i="1"/>
  <c r="D10" i="1"/>
  <c r="D7" i="1"/>
  <c r="D16" i="1"/>
  <c r="D18" i="1"/>
  <c r="D8" i="1"/>
  <c r="B1" i="3" l="1" a="1"/>
  <c r="J1" i="3" s="1"/>
  <c r="A1" i="3"/>
  <c r="A7" i="3"/>
  <c r="A15" i="3"/>
  <c r="A8" i="3"/>
  <c r="A19" i="3"/>
  <c r="A16" i="3"/>
  <c r="A3" i="3"/>
  <c r="A11" i="3"/>
  <c r="A4" i="3"/>
  <c r="A12" i="3"/>
  <c r="A20" i="3"/>
  <c r="A5" i="3"/>
  <c r="A9" i="3"/>
  <c r="A13" i="3"/>
  <c r="A17" i="3"/>
  <c r="A2" i="3"/>
  <c r="A6" i="3"/>
  <c r="A10" i="3"/>
  <c r="A14" i="3"/>
  <c r="C1" i="3" l="1"/>
  <c r="G1" i="3"/>
  <c r="M1" i="3"/>
  <c r="K1" i="3"/>
  <c r="Q1" i="3"/>
  <c r="O1" i="3"/>
  <c r="U1" i="3"/>
  <c r="AC1" i="3"/>
  <c r="H1" i="3"/>
  <c r="I1" i="3"/>
  <c r="N1" i="3"/>
  <c r="L1" i="3"/>
  <c r="R1" i="3"/>
  <c r="P1" i="3"/>
  <c r="V1" i="3"/>
  <c r="T1" i="3"/>
  <c r="Z1" i="3"/>
  <c r="S1" i="3"/>
  <c r="X1" i="3"/>
  <c r="Y1" i="3"/>
  <c r="AD1" i="3"/>
  <c r="W1" i="3"/>
  <c r="AB1" i="3"/>
  <c r="AA1" i="3"/>
  <c r="B1" i="3"/>
  <c r="F1" i="3"/>
  <c r="D1" i="3"/>
  <c r="E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Quesada</author>
  </authors>
  <commentList>
    <comment ref="C1" authorId="0" shapeId="0" xr:uid="{448F0BB3-E134-45D8-8237-0FA6CDDCF94D}">
      <text>
        <r>
          <rPr>
            <b/>
            <sz val="9"/>
            <color indexed="81"/>
            <rFont val="Tahoma"/>
            <charset val="1"/>
          </rPr>
          <t>Francisco Quesada:</t>
        </r>
        <r>
          <rPr>
            <sz val="9"/>
            <color indexed="81"/>
            <rFont val="Tahoma"/>
            <charset val="1"/>
          </rPr>
          <t xml:space="preserve">
this are filetypes that are listed in thef file selection options
</t>
        </r>
      </text>
    </comment>
  </commentList>
</comments>
</file>

<file path=xl/sharedStrings.xml><?xml version="1.0" encoding="utf-8"?>
<sst xmlns="http://schemas.openxmlformats.org/spreadsheetml/2006/main" count="486" uniqueCount="204">
  <si>
    <t>process</t>
  </si>
  <si>
    <t>priority</t>
  </si>
  <si>
    <t>colorsample</t>
  </si>
  <si>
    <t>color</t>
  </si>
  <si>
    <t>icon</t>
  </si>
  <si>
    <t>pdf</t>
  </si>
  <si>
    <t>dxf</t>
  </si>
  <si>
    <t>step</t>
  </si>
  <si>
    <t>purchase</t>
  </si>
  <si>
    <t>purchase.svg</t>
  </si>
  <si>
    <t>machine</t>
  </si>
  <si>
    <t>machine.svg</t>
  </si>
  <si>
    <t>welding</t>
  </si>
  <si>
    <t>welding.svg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</si>
  <si>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</si>
  <si>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</si>
  <si>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</si>
  <si>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</si>
  <si>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</si>
  <si>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</si>
  <si>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</si>
  <si>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</si>
  <si>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</si>
  <si>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</si>
  <si>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</si>
  <si>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</si>
  <si>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</si>
  <si>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</si>
  <si>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</si>
  <si>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</si>
  <si>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</si>
  <si>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</si>
  <si>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</si>
  <si>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</si>
  <si>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</si>
  <si>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</si>
  <si>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</si>
  <si>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</si>
  <si>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</si>
  <si>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</si>
  <si>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</si>
  <si>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</si>
  <si>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</si>
  <si>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</si>
  <si>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</si>
  <si>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</si>
  <si>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</si>
  <si>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</si>
  <si>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</si>
  <si>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category</t>
  </si>
  <si>
    <t>type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</si>
  <si>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</si>
  <si>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</si>
  <si>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</si>
  <si>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</si>
  <si>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</si>
  <si>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</si>
  <si>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</si>
  <si>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</si>
  <si>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</si>
  <si>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</si>
  <si>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</si>
  <si>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</si>
  <si>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</si>
  <si>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</si>
  <si>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</si>
  <si>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</si>
  <si>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</si>
  <si>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</si>
  <si>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</si>
  <si>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</si>
  <si>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</si>
  <si>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</si>
  <si>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</si>
  <si>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</si>
  <si>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</si>
  <si>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</si>
  <si>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</si>
  <si>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</si>
  <si>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</si>
  <si>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</si>
  <si>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</si>
  <si>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</si>
  <si>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</si>
  <si>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</si>
  <si>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</si>
  <si>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</si>
  <si>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</si>
  <si>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</si>
  <si>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</si>
  <si>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</si>
  <si>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</si>
  <si>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</si>
  <si>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</si>
  <si>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</si>
  <si>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</si>
  <si>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</si>
  <si>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</si>
  <si>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</si>
  <si>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</si>
  <si>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</si>
  <si>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</si>
  <si>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</si>
  <si>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</si>
  <si>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</si>
  <si>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</si>
  <si>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</si>
  <si>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</si>
  <si>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</si>
  <si>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</si>
  <si>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</si>
  <si>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</si>
  <si>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</si>
  <si>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</si>
  <si>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</si>
  <si>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</si>
  <si>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</si>
  <si>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</si>
  <si>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</si>
  <si>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</si>
  <si>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</si>
  <si>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</si>
  <si>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</si>
  <si>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</si>
  <si>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</si>
  <si>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</si>
  <si>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</si>
  <si>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</si>
  <si>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</si>
  <si>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</si>
  <si>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</si>
  <si>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</si>
  <si>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</si>
  <si>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</si>
  <si>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fileserver_path</t>
  </si>
  <si>
    <t>webserver</t>
  </si>
  <si>
    <t>filetype</t>
  </si>
  <si>
    <t>list</t>
  </si>
  <si>
    <t>filemod</t>
  </si>
  <si>
    <t>extension0</t>
  </si>
  <si>
    <t>extension1</t>
  </si>
  <si>
    <t>extension2</t>
  </si>
  <si>
    <t>extension3</t>
  </si>
  <si>
    <t>extension4</t>
  </si>
  <si>
    <t>extension5</t>
  </si>
  <si>
    <t>model</t>
  </si>
  <si>
    <t>native</t>
  </si>
  <si>
    <t>sldprt</t>
  </si>
  <si>
    <t>sldasm</t>
  </si>
  <si>
    <t>slddrw</t>
  </si>
  <si>
    <t>png</t>
  </si>
  <si>
    <t>edr</t>
  </si>
  <si>
    <t>stp</t>
  </si>
  <si>
    <t>threemf</t>
  </si>
  <si>
    <t>3mf</t>
  </si>
  <si>
    <t>jpg</t>
  </si>
  <si>
    <t>jpeg</t>
  </si>
  <si>
    <t>pic</t>
  </si>
  <si>
    <t>_DWG</t>
  </si>
  <si>
    <t>qr</t>
  </si>
  <si>
    <t>zinc</t>
  </si>
  <si>
    <t>zinc.svg</t>
  </si>
  <si>
    <t>galvanize</t>
  </si>
  <si>
    <t>galvanize.svg</t>
  </si>
  <si>
    <t>nickel</t>
  </si>
  <si>
    <t>nickel.svg</t>
  </si>
  <si>
    <t>no</t>
  </si>
  <si>
    <t>EPRT</t>
  </si>
  <si>
    <t>EDRW</t>
  </si>
  <si>
    <t>EASM</t>
  </si>
  <si>
    <t>.qr</t>
  </si>
  <si>
    <t>eprt</t>
  </si>
  <si>
    <t>edrw</t>
  </si>
  <si>
    <t>easm</t>
  </si>
  <si>
    <t>edrawing</t>
  </si>
  <si>
    <t>edrawing_of_drawing</t>
  </si>
  <si>
    <t>drawing_screenshot</t>
  </si>
  <si>
    <t>modelpath</t>
  </si>
  <si>
    <t>pngpath</t>
  </si>
  <si>
    <t>pdfpath</t>
  </si>
  <si>
    <t>dxfpath</t>
  </si>
  <si>
    <t>steppath</t>
  </si>
  <si>
    <t>threemfpath</t>
  </si>
  <si>
    <t>picpath</t>
  </si>
  <si>
    <t>otherspath</t>
  </si>
  <si>
    <t>edrpath</t>
  </si>
  <si>
    <t>edr_dpath</t>
  </si>
  <si>
    <t>png_dpath</t>
  </si>
  <si>
    <t>qrpath</t>
  </si>
  <si>
    <t>field</t>
  </si>
  <si>
    <t>Comments</t>
  </si>
  <si>
    <t>thumbnail</t>
  </si>
  <si>
    <t>.thumbnail</t>
  </si>
  <si>
    <t>SecondProcess</t>
  </si>
  <si>
    <t>process2</t>
  </si>
  <si>
    <t>process3</t>
  </si>
  <si>
    <t>Third Process</t>
  </si>
  <si>
    <t>/Fileserver</t>
  </si>
  <si>
    <t>oem_partnumber</t>
  </si>
  <si>
    <t>checkedby</t>
  </si>
  <si>
    <t>classified</t>
  </si>
  <si>
    <t>192.168.0.161/vault</t>
  </si>
  <si>
    <t>/Shared/</t>
  </si>
  <si>
    <t>192.168.0.161:8080/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</si>
</sst>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right" textRotation="90"/>
    </xf>
    <xf numFmtId="49" fontId="0" fillId="0" borderId="1" xfId="0" applyNumberFormat="1" applyBorder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3"/>
  <sheetViews>
    <sheetView zoomScale="85" zoomScaleNormal="85" workbookViewId="0">
      <selection activeCell="F26" sqref="F26"/>
    </sheetView>
  </sheetViews>
  <sheetFormatPr defaultColWidth="8.7109375"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 t="s">
        <v>8</v>
      </c>
      <c r="B2">
        <v>11</v>
      </c>
      <c r="C2" s="2"/>
      <c r="D2" t="str">
        <f>GETCOLOR(C2,"rgb")</f>
        <v>112, 48, 160</v>
      </c>
      <c r="E2" t="s">
        <v>9</v>
      </c>
      <c r="F2">
        <v>1</v>
      </c>
      <c r="G2">
        <v>0</v>
      </c>
      <c r="H2">
        <v>0</v>
      </c>
    </row>
    <row r="3" spans="1:8" x14ac:dyDescent="0.25">
      <c r="A3" s="1" t="s">
        <v>10</v>
      </c>
      <c r="B3">
        <v>12</v>
      </c>
      <c r="C3" s="3"/>
      <c r="D3" t="str">
        <f t="shared" ref="D3:D23" si="0">GETCOLOR(C3,"rgb")</f>
        <v>255, 0, 0</v>
      </c>
      <c r="E3" t="s">
        <v>11</v>
      </c>
      <c r="F3">
        <v>1</v>
      </c>
      <c r="G3">
        <v>0</v>
      </c>
      <c r="H3">
        <v>1</v>
      </c>
    </row>
    <row r="4" spans="1:8" x14ac:dyDescent="0.25">
      <c r="A4" s="1" t="s">
        <v>12</v>
      </c>
      <c r="B4">
        <v>15</v>
      </c>
      <c r="C4" s="4"/>
      <c r="D4" t="str">
        <f t="shared" si="0"/>
        <v>255, 192, 0</v>
      </c>
      <c r="E4" t="s">
        <v>13</v>
      </c>
      <c r="F4">
        <v>1</v>
      </c>
      <c r="G4">
        <v>0</v>
      </c>
      <c r="H4">
        <v>0</v>
      </c>
    </row>
    <row r="5" spans="1:8" x14ac:dyDescent="0.25">
      <c r="A5" s="5" t="s">
        <v>14</v>
      </c>
      <c r="B5">
        <v>20</v>
      </c>
      <c r="C5" s="6"/>
      <c r="D5" t="str">
        <f t="shared" si="0"/>
        <v>0, 102, 0</v>
      </c>
      <c r="E5" t="s">
        <v>15</v>
      </c>
      <c r="F5">
        <v>1</v>
      </c>
      <c r="G5">
        <v>1</v>
      </c>
      <c r="H5">
        <v>1</v>
      </c>
    </row>
    <row r="6" spans="1:8" x14ac:dyDescent="0.25">
      <c r="A6" s="5" t="s">
        <v>16</v>
      </c>
      <c r="B6">
        <v>21</v>
      </c>
      <c r="C6" s="6"/>
      <c r="D6" t="str">
        <f t="shared" si="0"/>
        <v>0, 102, 0</v>
      </c>
      <c r="E6" t="s">
        <v>17</v>
      </c>
      <c r="F6">
        <v>1</v>
      </c>
      <c r="G6">
        <v>0</v>
      </c>
      <c r="H6">
        <v>0</v>
      </c>
    </row>
    <row r="7" spans="1:8" x14ac:dyDescent="0.25">
      <c r="A7" s="5" t="s">
        <v>18</v>
      </c>
      <c r="B7">
        <v>22</v>
      </c>
      <c r="C7" s="7"/>
      <c r="D7" t="str">
        <f t="shared" si="0"/>
        <v>255, 0, 255</v>
      </c>
      <c r="E7" t="s">
        <v>19</v>
      </c>
      <c r="F7">
        <v>1</v>
      </c>
      <c r="G7">
        <v>0</v>
      </c>
      <c r="H7">
        <v>0</v>
      </c>
    </row>
    <row r="8" spans="1:8" x14ac:dyDescent="0.25">
      <c r="A8" s="8" t="s">
        <v>20</v>
      </c>
      <c r="B8">
        <v>30</v>
      </c>
      <c r="C8" s="9"/>
      <c r="D8" t="str">
        <f t="shared" si="0"/>
        <v>0, 176, 80</v>
      </c>
      <c r="E8" t="s">
        <v>21</v>
      </c>
      <c r="F8">
        <v>1</v>
      </c>
      <c r="G8">
        <v>1</v>
      </c>
      <c r="H8">
        <v>1</v>
      </c>
    </row>
    <row r="9" spans="1:8" x14ac:dyDescent="0.25">
      <c r="A9" s="8" t="s">
        <v>22</v>
      </c>
      <c r="B9">
        <v>32</v>
      </c>
      <c r="C9" s="10"/>
      <c r="D9" t="str">
        <f t="shared" si="0"/>
        <v>153, 102, 51</v>
      </c>
      <c r="E9" t="s">
        <v>23</v>
      </c>
      <c r="F9">
        <v>1</v>
      </c>
      <c r="G9">
        <v>1</v>
      </c>
      <c r="H9">
        <v>0</v>
      </c>
    </row>
    <row r="10" spans="1:8" x14ac:dyDescent="0.25">
      <c r="A10" s="8" t="s">
        <v>25</v>
      </c>
      <c r="B10">
        <v>33</v>
      </c>
      <c r="C10" s="9"/>
      <c r="D10" t="str">
        <f t="shared" si="0"/>
        <v>0, 176, 80</v>
      </c>
      <c r="E10" t="s">
        <v>26</v>
      </c>
      <c r="F10">
        <v>1</v>
      </c>
      <c r="G10">
        <v>0</v>
      </c>
      <c r="H10">
        <v>1</v>
      </c>
    </row>
    <row r="11" spans="1:8" x14ac:dyDescent="0.25">
      <c r="A11" s="8" t="s">
        <v>27</v>
      </c>
      <c r="B11">
        <v>34</v>
      </c>
      <c r="C11" s="4"/>
      <c r="D11" t="str">
        <f t="shared" si="0"/>
        <v>255, 192, 0</v>
      </c>
      <c r="E11" t="s">
        <v>28</v>
      </c>
      <c r="F11">
        <v>1</v>
      </c>
      <c r="G11">
        <v>0</v>
      </c>
      <c r="H11">
        <v>0</v>
      </c>
    </row>
    <row r="12" spans="1:8" x14ac:dyDescent="0.25">
      <c r="A12" s="11" t="s">
        <v>29</v>
      </c>
      <c r="B12">
        <v>41</v>
      </c>
      <c r="C12" s="12"/>
      <c r="D12" t="str">
        <f t="shared" si="0"/>
        <v>192, 0, 0</v>
      </c>
      <c r="E12" t="s">
        <v>30</v>
      </c>
      <c r="F12">
        <v>1</v>
      </c>
      <c r="G12">
        <v>0</v>
      </c>
      <c r="H12">
        <v>0</v>
      </c>
    </row>
    <row r="13" spans="1:8" x14ac:dyDescent="0.25">
      <c r="A13" s="11" t="s">
        <v>31</v>
      </c>
      <c r="B13">
        <v>42</v>
      </c>
      <c r="C13" s="12"/>
      <c r="D13" t="str">
        <f t="shared" si="0"/>
        <v>192, 0, 0</v>
      </c>
      <c r="E13" t="s">
        <v>32</v>
      </c>
      <c r="F13">
        <v>1</v>
      </c>
      <c r="G13">
        <v>0</v>
      </c>
      <c r="H13">
        <v>1</v>
      </c>
    </row>
    <row r="14" spans="1:8" x14ac:dyDescent="0.25">
      <c r="A14" s="11" t="s">
        <v>33</v>
      </c>
      <c r="B14">
        <v>43</v>
      </c>
      <c r="C14" s="4"/>
      <c r="D14" t="str">
        <f t="shared" si="0"/>
        <v>255, 192, 0</v>
      </c>
      <c r="E14" t="s">
        <v>13</v>
      </c>
      <c r="F14">
        <v>1</v>
      </c>
      <c r="G14">
        <v>0</v>
      </c>
      <c r="H14">
        <v>0</v>
      </c>
    </row>
    <row r="15" spans="1:8" x14ac:dyDescent="0.25">
      <c r="A15" t="s">
        <v>34</v>
      </c>
      <c r="B15">
        <v>50</v>
      </c>
      <c r="C15" s="13"/>
      <c r="D15" t="str">
        <f t="shared" si="0"/>
        <v>0, 32, 96</v>
      </c>
      <c r="E15" t="s">
        <v>35</v>
      </c>
      <c r="F15">
        <v>1</v>
      </c>
      <c r="G15">
        <v>0</v>
      </c>
      <c r="H15">
        <v>0</v>
      </c>
    </row>
    <row r="16" spans="1:8" x14ac:dyDescent="0.25">
      <c r="A16" t="s">
        <v>160</v>
      </c>
      <c r="B16">
        <v>51</v>
      </c>
      <c r="C16" s="13"/>
      <c r="D16" t="str">
        <f t="shared" si="0"/>
        <v>0, 32, 96</v>
      </c>
      <c r="E16" t="s">
        <v>161</v>
      </c>
      <c r="F16">
        <v>1</v>
      </c>
      <c r="G16">
        <v>0</v>
      </c>
      <c r="H16">
        <v>0</v>
      </c>
    </row>
    <row r="17" spans="1:8" x14ac:dyDescent="0.25">
      <c r="A17" t="s">
        <v>162</v>
      </c>
      <c r="B17">
        <v>52</v>
      </c>
      <c r="C17" s="13"/>
      <c r="D17" t="str">
        <f t="shared" si="0"/>
        <v>0, 32, 96</v>
      </c>
      <c r="E17" t="s">
        <v>163</v>
      </c>
      <c r="F17">
        <v>1</v>
      </c>
      <c r="G17">
        <v>0</v>
      </c>
      <c r="H17">
        <v>0</v>
      </c>
    </row>
    <row r="18" spans="1:8" x14ac:dyDescent="0.25">
      <c r="A18" t="s">
        <v>164</v>
      </c>
      <c r="B18">
        <v>52</v>
      </c>
      <c r="C18" s="13"/>
      <c r="D18" t="str">
        <f t="shared" si="0"/>
        <v>0, 32, 96</v>
      </c>
      <c r="E18" t="s">
        <v>165</v>
      </c>
      <c r="F18">
        <v>1</v>
      </c>
      <c r="G18">
        <v>0</v>
      </c>
      <c r="H18">
        <v>0</v>
      </c>
    </row>
    <row r="19" spans="1:8" x14ac:dyDescent="0.25">
      <c r="A19" s="14" t="s">
        <v>36</v>
      </c>
      <c r="B19">
        <v>180</v>
      </c>
      <c r="C19" s="11"/>
      <c r="D19" t="str">
        <f t="shared" si="0"/>
        <v>0, 176, 240</v>
      </c>
      <c r="E19" t="s">
        <v>37</v>
      </c>
      <c r="F19">
        <v>1</v>
      </c>
      <c r="G19">
        <v>0</v>
      </c>
      <c r="H19">
        <v>0</v>
      </c>
    </row>
    <row r="20" spans="1:8" x14ac:dyDescent="0.25">
      <c r="A20" s="14" t="s">
        <v>38</v>
      </c>
      <c r="B20">
        <v>181</v>
      </c>
      <c r="C20" s="11"/>
      <c r="D20" t="str">
        <f t="shared" si="0"/>
        <v>0, 176, 240</v>
      </c>
      <c r="E20" t="s">
        <v>37</v>
      </c>
      <c r="F20">
        <v>1</v>
      </c>
      <c r="G20">
        <v>0</v>
      </c>
      <c r="H20">
        <v>0</v>
      </c>
    </row>
    <row r="21" spans="1:8" x14ac:dyDescent="0.25">
      <c r="A21" s="14" t="s">
        <v>39</v>
      </c>
      <c r="B21">
        <v>182</v>
      </c>
      <c r="C21" s="11"/>
      <c r="D21" t="str">
        <f t="shared" si="0"/>
        <v>0, 176, 240</v>
      </c>
      <c r="E21" t="s">
        <v>40</v>
      </c>
      <c r="F21">
        <v>1</v>
      </c>
      <c r="G21">
        <v>0</v>
      </c>
      <c r="H21">
        <v>0</v>
      </c>
    </row>
    <row r="22" spans="1:8" x14ac:dyDescent="0.25">
      <c r="A22" s="15" t="s">
        <v>41</v>
      </c>
      <c r="B22">
        <v>190</v>
      </c>
      <c r="C22" s="16"/>
      <c r="D22" t="str">
        <f t="shared" si="0"/>
        <v>208, 206, 206</v>
      </c>
      <c r="E22" t="s">
        <v>42</v>
      </c>
      <c r="F22">
        <v>0</v>
      </c>
      <c r="G22">
        <v>0</v>
      </c>
      <c r="H22">
        <v>0</v>
      </c>
    </row>
    <row r="23" spans="1:8" x14ac:dyDescent="0.25">
      <c r="A23" t="s">
        <v>43</v>
      </c>
      <c r="B23">
        <v>200</v>
      </c>
      <c r="C23" s="17"/>
      <c r="D23" t="str">
        <f t="shared" si="0"/>
        <v>118, 113, 113</v>
      </c>
      <c r="E23" t="s">
        <v>44</v>
      </c>
      <c r="F23">
        <v>0</v>
      </c>
      <c r="G23">
        <v>0</v>
      </c>
      <c r="H23">
        <v>0</v>
      </c>
    </row>
  </sheetData>
  <autoFilter ref="A1:H23" xr:uid="{00000000-0009-0000-0000-000000000000}">
    <sortState xmlns:xlrd2="http://schemas.microsoft.com/office/spreadsheetml/2017/richdata2" ref="A2:H23">
      <sortCondition ref="A2:A23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2"/>
  <sheetViews>
    <sheetView zoomScale="115" zoomScaleNormal="115" workbookViewId="0">
      <selection activeCell="C33" sqref="C33"/>
    </sheetView>
  </sheetViews>
  <sheetFormatPr defaultColWidth="8.7109375" defaultRowHeight="15" x14ac:dyDescent="0.25"/>
  <cols>
    <col min="1" max="1" width="33.7109375" customWidth="1"/>
    <col min="2" max="2" width="24" customWidth="1"/>
    <col min="3" max="4" width="32.140625" customWidth="1"/>
    <col min="5" max="5" width="19.28515625" customWidth="1"/>
    <col min="6" max="6" width="11" customWidth="1"/>
    <col min="7" max="7" width="11.42578125" customWidth="1"/>
  </cols>
  <sheetData>
    <row r="1" spans="1:7" s="18" customFormat="1" ht="50.25" customHeight="1" x14ac:dyDescent="0.25">
      <c r="A1" s="18" t="s">
        <v>45</v>
      </c>
      <c r="B1" s="18" t="s">
        <v>46</v>
      </c>
      <c r="C1" s="18" t="s">
        <v>47</v>
      </c>
      <c r="D1" s="18" t="s">
        <v>48</v>
      </c>
      <c r="E1" s="18" t="s">
        <v>49</v>
      </c>
      <c r="F1" s="18" t="s">
        <v>50</v>
      </c>
      <c r="G1" s="18" t="s">
        <v>51</v>
      </c>
    </row>
    <row r="2" spans="1:7" x14ac:dyDescent="0.25">
      <c r="A2" s="19" t="s">
        <v>52</v>
      </c>
      <c r="B2" s="20" t="s">
        <v>53</v>
      </c>
      <c r="C2" s="20" t="str">
        <f>LOWER(IF(ISBLANK(B2),LOWER(SUBSTITUTE(SUBSTITUTE(SUBSTITUTE(A2,".",""),"-","_")," ","_")),B2))</f>
        <v>approved</v>
      </c>
      <c r="D2" s="20">
        <v>1</v>
      </c>
      <c r="E2" s="20" t="s">
        <v>54</v>
      </c>
      <c r="F2" s="20" t="s">
        <v>55</v>
      </c>
      <c r="G2" t="str">
        <f t="shared" ref="G2:G8" si="0">IF(A2=B2,"False","True")</f>
        <v>False</v>
      </c>
    </row>
    <row r="3" spans="1:7" x14ac:dyDescent="0.25">
      <c r="A3" s="19" t="s">
        <v>56</v>
      </c>
      <c r="B3" s="20" t="s">
        <v>57</v>
      </c>
      <c r="C3" s="20" t="str">
        <f>LOWER(IF(ISBLANK(B3),LOWER(SUBSTITUTE(SUBSTITUTE(SUBSTITUTE(A3,".",""),"-","_")," ","_")),B3))</f>
        <v>author</v>
      </c>
      <c r="D3" s="20">
        <v>1</v>
      </c>
      <c r="E3" s="20" t="s">
        <v>54</v>
      </c>
      <c r="F3" s="20" t="s">
        <v>55</v>
      </c>
      <c r="G3" t="str">
        <f t="shared" si="0"/>
        <v>False</v>
      </c>
    </row>
    <row r="4" spans="1:7" x14ac:dyDescent="0.25">
      <c r="A4" s="19" t="s">
        <v>199</v>
      </c>
      <c r="B4" s="20" t="s">
        <v>199</v>
      </c>
      <c r="C4" s="20" t="str">
        <f>LOWER(IF(ISBLANK(B4),LOWER(SUBSTITUTE(SUBSTITUTE(SUBSTITUTE(A4,".",""),"-","_")," ","_")),B4))</f>
        <v>checkedby</v>
      </c>
      <c r="D4" s="20">
        <v>1</v>
      </c>
      <c r="E4" s="20" t="s">
        <v>54</v>
      </c>
      <c r="F4" s="20" t="s">
        <v>55</v>
      </c>
      <c r="G4" t="str">
        <f t="shared" ref="G4" si="1">IF(A4=B4,"False","True")</f>
        <v>False</v>
      </c>
    </row>
    <row r="5" spans="1:7" x14ac:dyDescent="0.25">
      <c r="A5" s="19" t="s">
        <v>200</v>
      </c>
      <c r="B5" s="19" t="s">
        <v>200</v>
      </c>
      <c r="C5" s="20" t="str">
        <f>LOWER(IF(ISBLANK(B5),LOWER(SUBSTITUTE(SUBSTITUTE(SUBSTITUTE(A5,".",""),"-","_")," ","_")),B5))</f>
        <v>classified</v>
      </c>
      <c r="D5" s="20">
        <v>1</v>
      </c>
      <c r="E5" s="20" t="s">
        <v>54</v>
      </c>
      <c r="F5" s="20" t="s">
        <v>55</v>
      </c>
      <c r="G5" t="str">
        <f t="shared" ref="G5" si="2">IF(A5=B5,"False","True")</f>
        <v>False</v>
      </c>
    </row>
    <row r="6" spans="1:7" x14ac:dyDescent="0.25">
      <c r="A6" s="19" t="s">
        <v>49</v>
      </c>
      <c r="B6" s="20" t="s">
        <v>49</v>
      </c>
      <c r="C6" s="20" t="str">
        <f>LOWER(IF(ISBLANK(B6),LOWER(SUBSTITUTE(SUBSTITUTE(SUBSTITUTE(A6,".",""),"-","_")," ","_")),B6))</f>
        <v>category</v>
      </c>
      <c r="D6" s="20">
        <v>1</v>
      </c>
      <c r="E6" s="20" t="s">
        <v>54</v>
      </c>
      <c r="F6" s="20" t="s">
        <v>55</v>
      </c>
      <c r="G6" t="str">
        <f t="shared" si="0"/>
        <v>False</v>
      </c>
    </row>
    <row r="7" spans="1:7" x14ac:dyDescent="0.25">
      <c r="A7" s="19" t="s">
        <v>58</v>
      </c>
      <c r="B7" s="20" t="s">
        <v>59</v>
      </c>
      <c r="C7" s="20" t="s">
        <v>60</v>
      </c>
      <c r="D7" s="20">
        <v>1</v>
      </c>
      <c r="E7" s="20" t="s">
        <v>61</v>
      </c>
      <c r="F7" s="20" t="s">
        <v>55</v>
      </c>
      <c r="G7" t="str">
        <f t="shared" si="0"/>
        <v>True</v>
      </c>
    </row>
    <row r="8" spans="1:7" x14ac:dyDescent="0.25">
      <c r="A8" s="19" t="s">
        <v>62</v>
      </c>
      <c r="B8" s="20" t="s">
        <v>62</v>
      </c>
      <c r="C8" s="20" t="str">
        <f>LOWER(IF(ISBLANK(B8),LOWER(SUBSTITUTE(SUBSTITUTE(SUBSTITUTE(A8,".",""),"-","_")," ","_")),B8))</f>
        <v>datasheet</v>
      </c>
      <c r="D8" s="20">
        <v>1</v>
      </c>
      <c r="E8" s="20" t="s">
        <v>61</v>
      </c>
      <c r="F8" s="20" t="s">
        <v>55</v>
      </c>
      <c r="G8" t="str">
        <f t="shared" si="0"/>
        <v>False</v>
      </c>
    </row>
    <row r="9" spans="1:7" x14ac:dyDescent="0.25">
      <c r="A9" s="19" t="s">
        <v>63</v>
      </c>
      <c r="B9" s="20" t="s">
        <v>64</v>
      </c>
      <c r="C9" s="20" t="str">
        <f>LOWER(IF(ISBLANK(B9),LOWER(SUBSTITUTE(SUBSTITUTE(SUBSTITUTE(A9,".",""),"-","_")," ","_")),B9))</f>
        <v>description</v>
      </c>
      <c r="D9" s="20">
        <v>1</v>
      </c>
      <c r="E9" s="20" t="s">
        <v>61</v>
      </c>
      <c r="F9" s="20" t="s">
        <v>55</v>
      </c>
      <c r="G9" t="str">
        <f>IF(A9=B9,"False","True")</f>
        <v>False</v>
      </c>
    </row>
    <row r="10" spans="1:7" x14ac:dyDescent="0.25">
      <c r="A10" s="19" t="s">
        <v>65</v>
      </c>
      <c r="B10" s="20" t="s">
        <v>66</v>
      </c>
      <c r="C10" s="20" t="str">
        <f>LOWER(IF(ISBLANK(B10),LOWER(SUBSTITUTE(SUBSTITUTE(SUBSTITUTE(A10,".",""),"-","_")," ","_")),B10))</f>
        <v>drawndate</v>
      </c>
      <c r="D10" s="20">
        <v>1</v>
      </c>
      <c r="E10" s="20" t="s">
        <v>54</v>
      </c>
      <c r="F10" s="20" t="s">
        <v>55</v>
      </c>
      <c r="G10" t="str">
        <f t="shared" ref="G10:G32" si="3">IF(A10=B10,"False","True")</f>
        <v>False</v>
      </c>
    </row>
    <row r="11" spans="1:7" x14ac:dyDescent="0.25">
      <c r="A11" s="19" t="s">
        <v>67</v>
      </c>
      <c r="B11" s="20" t="s">
        <v>68</v>
      </c>
      <c r="C11" s="20" t="s">
        <v>69</v>
      </c>
      <c r="D11" s="20">
        <v>1</v>
      </c>
      <c r="E11" s="20" t="s">
        <v>61</v>
      </c>
      <c r="F11" s="20" t="s">
        <v>55</v>
      </c>
      <c r="G11" t="str">
        <f t="shared" si="3"/>
        <v>True</v>
      </c>
    </row>
    <row r="12" spans="1:7" x14ac:dyDescent="0.25">
      <c r="A12" s="19" t="s">
        <v>70</v>
      </c>
      <c r="B12" s="20" t="s">
        <v>71</v>
      </c>
      <c r="C12" s="20" t="str">
        <f>LOWER(IF(ISBLANK(B12),LOWER(SUBSTITUTE(SUBSTITUTE(SUBSTITUTE(A12,".",""),"-","_")," ","_")),B12))</f>
        <v>finish</v>
      </c>
      <c r="D12" s="20">
        <v>1</v>
      </c>
      <c r="E12" s="20" t="s">
        <v>61</v>
      </c>
      <c r="F12" s="20" t="s">
        <v>55</v>
      </c>
      <c r="G12" t="str">
        <f t="shared" si="3"/>
        <v>False</v>
      </c>
    </row>
    <row r="13" spans="1:7" x14ac:dyDescent="0.25">
      <c r="A13" s="19" t="s">
        <v>72</v>
      </c>
      <c r="B13" s="19" t="s">
        <v>73</v>
      </c>
      <c r="C13" s="20" t="s">
        <v>74</v>
      </c>
      <c r="D13" s="20">
        <v>1</v>
      </c>
      <c r="E13" s="20" t="s">
        <v>61</v>
      </c>
      <c r="F13" s="20" t="s">
        <v>55</v>
      </c>
      <c r="G13" t="str">
        <f t="shared" si="3"/>
        <v>True</v>
      </c>
    </row>
    <row r="14" spans="1:7" x14ac:dyDescent="0.25">
      <c r="A14" s="19" t="s">
        <v>75</v>
      </c>
      <c r="B14" s="19" t="s">
        <v>76</v>
      </c>
      <c r="C14" s="20" t="str">
        <f t="shared" ref="C14:C32" si="4">LOWER(IF(ISBLANK(B14),LOWER(SUBSTITUTE(SUBSTITUTE(SUBSTITUTE(A14,".",""),"-","_")," ","_")),B14))</f>
        <v>item_no</v>
      </c>
      <c r="D14" s="20">
        <v>0</v>
      </c>
      <c r="E14" s="20" t="s">
        <v>61</v>
      </c>
      <c r="F14" s="20" t="s">
        <v>55</v>
      </c>
      <c r="G14" t="str">
        <f t="shared" si="3"/>
        <v>True</v>
      </c>
    </row>
    <row r="15" spans="1:7" x14ac:dyDescent="0.25">
      <c r="A15" s="19" t="s">
        <v>77</v>
      </c>
      <c r="B15" s="19" t="s">
        <v>78</v>
      </c>
      <c r="C15" s="20" t="str">
        <f t="shared" si="4"/>
        <v>link</v>
      </c>
      <c r="D15" s="20">
        <v>1</v>
      </c>
      <c r="E15" s="20" t="s">
        <v>54</v>
      </c>
      <c r="F15" s="20" t="s">
        <v>55</v>
      </c>
      <c r="G15" t="str">
        <f t="shared" si="3"/>
        <v>True</v>
      </c>
    </row>
    <row r="16" spans="1:7" x14ac:dyDescent="0.25">
      <c r="A16" s="19" t="s">
        <v>79</v>
      </c>
      <c r="B16" s="20" t="s">
        <v>79</v>
      </c>
      <c r="C16" s="20" t="str">
        <f t="shared" si="4"/>
        <v>mass</v>
      </c>
      <c r="D16" s="20">
        <v>1</v>
      </c>
      <c r="E16" s="20" t="s">
        <v>61</v>
      </c>
      <c r="F16" s="20" t="s">
        <v>80</v>
      </c>
      <c r="G16" t="str">
        <f t="shared" si="3"/>
        <v>False</v>
      </c>
    </row>
    <row r="17" spans="1:7" x14ac:dyDescent="0.25">
      <c r="A17" s="19" t="s">
        <v>81</v>
      </c>
      <c r="B17" s="20" t="s">
        <v>82</v>
      </c>
      <c r="C17" s="20" t="str">
        <f t="shared" si="4"/>
        <v>material</v>
      </c>
      <c r="D17" s="20">
        <v>1</v>
      </c>
      <c r="E17" s="20" t="s">
        <v>61</v>
      </c>
      <c r="F17" s="20" t="s">
        <v>55</v>
      </c>
      <c r="G17" t="str">
        <f t="shared" si="3"/>
        <v>False</v>
      </c>
    </row>
    <row r="18" spans="1:7" x14ac:dyDescent="0.25">
      <c r="A18" s="21" t="s">
        <v>83</v>
      </c>
      <c r="B18" s="22" t="s">
        <v>84</v>
      </c>
      <c r="C18" s="20" t="str">
        <f t="shared" si="4"/>
        <v>oem</v>
      </c>
      <c r="D18" s="20">
        <v>1</v>
      </c>
      <c r="E18" s="20" t="s">
        <v>54</v>
      </c>
      <c r="F18" s="20" t="s">
        <v>55</v>
      </c>
      <c r="G18" t="str">
        <f t="shared" si="3"/>
        <v>True</v>
      </c>
    </row>
    <row r="19" spans="1:7" x14ac:dyDescent="0.25">
      <c r="A19" s="19" t="s">
        <v>198</v>
      </c>
      <c r="B19" s="20" t="s">
        <v>198</v>
      </c>
      <c r="C19" s="20" t="str">
        <f t="shared" si="4"/>
        <v>oem_partnumber</v>
      </c>
      <c r="D19" s="20">
        <v>1</v>
      </c>
      <c r="E19" s="20" t="s">
        <v>61</v>
      </c>
      <c r="F19" s="20" t="s">
        <v>55</v>
      </c>
      <c r="G19" t="str">
        <f t="shared" si="3"/>
        <v>False</v>
      </c>
    </row>
    <row r="20" spans="1:7" x14ac:dyDescent="0.25">
      <c r="A20" s="19" t="s">
        <v>190</v>
      </c>
      <c r="B20" s="20" t="s">
        <v>0</v>
      </c>
      <c r="C20" s="20" t="str">
        <f t="shared" si="4"/>
        <v>process</v>
      </c>
      <c r="D20" s="20">
        <v>1</v>
      </c>
      <c r="E20" s="20" t="s">
        <v>61</v>
      </c>
      <c r="F20" s="20" t="s">
        <v>55</v>
      </c>
      <c r="G20" t="str">
        <f t="shared" si="3"/>
        <v>True</v>
      </c>
    </row>
    <row r="21" spans="1:7" x14ac:dyDescent="0.25">
      <c r="A21" s="19" t="s">
        <v>193</v>
      </c>
      <c r="B21" s="20" t="s">
        <v>194</v>
      </c>
      <c r="C21" s="20" t="str">
        <f t="shared" ref="C21:C22" si="5">LOWER(IF(ISBLANK(B21),LOWER(SUBSTITUTE(SUBSTITUTE(SUBSTITUTE(A21,".",""),"-","_")," ","_")),B21))</f>
        <v>process2</v>
      </c>
      <c r="D21" s="20">
        <v>1</v>
      </c>
      <c r="E21" s="20" t="s">
        <v>61</v>
      </c>
      <c r="F21" s="20" t="s">
        <v>55</v>
      </c>
      <c r="G21" t="str">
        <f t="shared" ref="G21:G22" si="6">IF(A21=B21,"False","True")</f>
        <v>True</v>
      </c>
    </row>
    <row r="22" spans="1:7" x14ac:dyDescent="0.25">
      <c r="A22" s="19" t="s">
        <v>196</v>
      </c>
      <c r="B22" s="20" t="s">
        <v>195</v>
      </c>
      <c r="C22" s="20" t="str">
        <f t="shared" si="5"/>
        <v>process3</v>
      </c>
      <c r="D22" s="20">
        <v>1</v>
      </c>
      <c r="E22" s="20" t="s">
        <v>61</v>
      </c>
      <c r="F22" s="20" t="s">
        <v>55</v>
      </c>
      <c r="G22" t="str">
        <f t="shared" si="6"/>
        <v>True</v>
      </c>
    </row>
    <row r="23" spans="1:7" x14ac:dyDescent="0.25">
      <c r="A23" s="19" t="s">
        <v>85</v>
      </c>
      <c r="B23" s="20" t="s">
        <v>85</v>
      </c>
      <c r="C23" s="20" t="str">
        <f t="shared" si="4"/>
        <v>revision</v>
      </c>
      <c r="D23" s="20">
        <v>1</v>
      </c>
      <c r="E23" s="20" t="s">
        <v>61</v>
      </c>
      <c r="F23" s="20" t="s">
        <v>55</v>
      </c>
      <c r="G23" t="str">
        <f t="shared" si="3"/>
        <v>False</v>
      </c>
    </row>
    <row r="24" spans="1:7" x14ac:dyDescent="0.25">
      <c r="A24" s="19" t="s">
        <v>86</v>
      </c>
      <c r="B24" s="20" t="s">
        <v>87</v>
      </c>
      <c r="C24" s="20" t="str">
        <f t="shared" si="4"/>
        <v>spare_part</v>
      </c>
      <c r="D24" s="20">
        <v>1</v>
      </c>
      <c r="E24" s="20" t="s">
        <v>54</v>
      </c>
      <c r="F24" s="20" t="s">
        <v>88</v>
      </c>
      <c r="G24" t="str">
        <f t="shared" si="3"/>
        <v>False</v>
      </c>
    </row>
    <row r="25" spans="1:7" x14ac:dyDescent="0.25">
      <c r="A25" s="19" t="s">
        <v>89</v>
      </c>
      <c r="B25" s="20" t="s">
        <v>90</v>
      </c>
      <c r="C25" s="20" t="str">
        <f t="shared" si="4"/>
        <v>supplier</v>
      </c>
      <c r="D25" s="20">
        <v>1</v>
      </c>
      <c r="E25" s="20" t="s">
        <v>54</v>
      </c>
      <c r="F25" s="20" t="s">
        <v>55</v>
      </c>
      <c r="G25" t="str">
        <f t="shared" si="3"/>
        <v>True</v>
      </c>
    </row>
    <row r="26" spans="1:7" x14ac:dyDescent="0.25">
      <c r="A26" s="21" t="s">
        <v>91</v>
      </c>
      <c r="B26" s="22" t="s">
        <v>92</v>
      </c>
      <c r="C26" s="20" t="str">
        <f t="shared" si="4"/>
        <v>supplier_partnumber</v>
      </c>
      <c r="D26" s="20">
        <v>1</v>
      </c>
      <c r="E26" s="20" t="s">
        <v>61</v>
      </c>
      <c r="F26" s="20" t="s">
        <v>55</v>
      </c>
      <c r="G26" t="str">
        <f t="shared" si="3"/>
        <v>True</v>
      </c>
    </row>
    <row r="27" spans="1:7" x14ac:dyDescent="0.25">
      <c r="A27" s="19" t="s">
        <v>93</v>
      </c>
      <c r="B27" s="19" t="s">
        <v>24</v>
      </c>
      <c r="C27" s="20" t="str">
        <f t="shared" si="4"/>
        <v>thickness</v>
      </c>
      <c r="D27" s="20">
        <v>1</v>
      </c>
      <c r="E27" s="20" t="s">
        <v>61</v>
      </c>
      <c r="F27" s="20" t="s">
        <v>80</v>
      </c>
      <c r="G27" t="str">
        <f t="shared" si="3"/>
        <v>True</v>
      </c>
    </row>
    <row r="28" spans="1:7" x14ac:dyDescent="0.25">
      <c r="A28" s="19" t="s">
        <v>94</v>
      </c>
      <c r="B28" s="20" t="s">
        <v>95</v>
      </c>
      <c r="C28" s="20" t="str">
        <f t="shared" si="4"/>
        <v>treatment</v>
      </c>
      <c r="D28" s="20">
        <v>1</v>
      </c>
      <c r="E28" s="20" t="s">
        <v>54</v>
      </c>
      <c r="F28" s="20" t="s">
        <v>55</v>
      </c>
      <c r="G28" t="str">
        <f t="shared" si="3"/>
        <v>False</v>
      </c>
    </row>
    <row r="29" spans="1:7" x14ac:dyDescent="0.25">
      <c r="A29" s="19" t="s">
        <v>96</v>
      </c>
      <c r="B29" s="20" t="s">
        <v>97</v>
      </c>
      <c r="C29" s="20" t="str">
        <f t="shared" si="4"/>
        <v>colour</v>
      </c>
      <c r="D29" s="20">
        <v>1</v>
      </c>
      <c r="E29" s="20" t="s">
        <v>54</v>
      </c>
      <c r="F29" s="20" t="s">
        <v>55</v>
      </c>
      <c r="G29" t="str">
        <f t="shared" si="3"/>
        <v>False</v>
      </c>
    </row>
    <row r="30" spans="1:7" x14ac:dyDescent="0.25">
      <c r="A30" s="19" t="s">
        <v>98</v>
      </c>
      <c r="B30" s="20" t="s">
        <v>99</v>
      </c>
      <c r="C30" s="20" t="str">
        <f t="shared" si="4"/>
        <v>notes</v>
      </c>
      <c r="D30" s="20">
        <v>1</v>
      </c>
      <c r="E30" s="20" t="s">
        <v>61</v>
      </c>
      <c r="F30" s="20" t="s">
        <v>55</v>
      </c>
      <c r="G30" t="str">
        <f t="shared" si="3"/>
        <v>True</v>
      </c>
    </row>
    <row r="31" spans="1:7" x14ac:dyDescent="0.25">
      <c r="A31" s="23" t="s">
        <v>100</v>
      </c>
      <c r="B31" s="20" t="s">
        <v>101</v>
      </c>
      <c r="C31" s="20" t="str">
        <f t="shared" si="4"/>
        <v>asset</v>
      </c>
      <c r="D31" s="20">
        <v>1</v>
      </c>
      <c r="E31" s="20" t="s">
        <v>61</v>
      </c>
      <c r="F31" s="20" t="s">
        <v>55</v>
      </c>
      <c r="G31" t="str">
        <f t="shared" si="3"/>
        <v>False</v>
      </c>
    </row>
    <row r="32" spans="1:7" x14ac:dyDescent="0.25">
      <c r="A32" s="23" t="s">
        <v>178</v>
      </c>
      <c r="B32" s="20" t="s">
        <v>178</v>
      </c>
      <c r="C32" s="20" t="str">
        <f t="shared" si="4"/>
        <v>pngpath</v>
      </c>
      <c r="G32" t="str">
        <f t="shared" si="3"/>
        <v>False</v>
      </c>
    </row>
  </sheetData>
  <autoFilter ref="A1:G29" xr:uid="{00000000-0009-0000-0000-000001000000}">
    <sortState xmlns:xlrd2="http://schemas.microsoft.com/office/spreadsheetml/2017/richdata2" ref="A2:G29">
      <sortCondition ref="A2:A29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115" zoomScaleNormal="115" workbookViewId="0">
      <selection activeCell="V24" sqref="V24"/>
    </sheetView>
  </sheetViews>
  <sheetFormatPr defaultColWidth="4.85546875" defaultRowHeight="15" x14ac:dyDescent="0.25"/>
  <cols>
    <col min="1" max="1" width="19" customWidth="1"/>
  </cols>
  <sheetData>
    <row r="1" spans="1:30" ht="78.75" customHeight="1" x14ac:dyDescent="0.25">
      <c r="A1" s="24" t="str">
        <f t="array" ref="A1:A20">process!$A$1:A23</f>
        <v>process</v>
      </c>
      <c r="B1" s="25" t="str">
        <f t="array" ref="B1:AD1">TRANSPOSE(property!$C$2:C31)</f>
        <v>approved</v>
      </c>
      <c r="C1" s="25" t="str">
        <v>author</v>
      </c>
      <c r="D1" s="25" t="str">
        <v>checkedby</v>
      </c>
      <c r="E1" s="25" t="str">
        <v>classified</v>
      </c>
      <c r="F1" s="25" t="str">
        <v>category</v>
      </c>
      <c r="G1" s="25" t="str">
        <v>configuration</v>
      </c>
      <c r="H1" s="25" t="str">
        <v>datasheet</v>
      </c>
      <c r="I1" s="25" t="str">
        <v>description</v>
      </c>
      <c r="J1" s="25" t="str">
        <v>drawndate</v>
      </c>
      <c r="K1" s="25" t="str">
        <v>file</v>
      </c>
      <c r="L1" s="25" t="str">
        <v>finish</v>
      </c>
      <c r="M1" s="25" t="str">
        <v>folder</v>
      </c>
      <c r="N1" s="25" t="str">
        <v>item_no</v>
      </c>
      <c r="O1" s="25" t="str">
        <v>link</v>
      </c>
      <c r="P1" s="25" t="str">
        <v>mass</v>
      </c>
      <c r="Q1" s="25" t="str">
        <v>material</v>
      </c>
      <c r="R1" s="25" t="str">
        <v>oem</v>
      </c>
      <c r="S1" s="25" t="str">
        <v>oem_partnumber</v>
      </c>
      <c r="T1" s="25" t="str">
        <v>process</v>
      </c>
      <c r="U1" s="25" t="str">
        <v>process2</v>
      </c>
      <c r="V1" s="25" t="str">
        <v>process3</v>
      </c>
      <c r="W1" s="25" t="str">
        <v>revision</v>
      </c>
      <c r="X1" s="25" t="str">
        <v>spare_part</v>
      </c>
      <c r="Y1" s="25" t="str">
        <v>supplier</v>
      </c>
      <c r="Z1" s="25" t="str">
        <v>supplier_partnumber</v>
      </c>
      <c r="AA1" s="25" t="str">
        <v>thickness</v>
      </c>
      <c r="AB1" s="25" t="str">
        <v>treatment</v>
      </c>
      <c r="AC1" s="25" t="str">
        <v>colour</v>
      </c>
      <c r="AD1" s="25" t="str">
        <v>notes</v>
      </c>
    </row>
    <row r="2" spans="1:30" x14ac:dyDescent="0.25">
      <c r="A2" s="24" t="str">
        <v>purchase</v>
      </c>
      <c r="B2" s="26"/>
      <c r="C2" s="26"/>
      <c r="D2" s="26" t="s">
        <v>102</v>
      </c>
      <c r="E2" s="26"/>
      <c r="F2" s="26" t="s">
        <v>103</v>
      </c>
      <c r="G2" s="26" t="s">
        <v>104</v>
      </c>
      <c r="H2" s="26"/>
      <c r="I2" s="26"/>
      <c r="J2" s="26"/>
      <c r="K2" s="26"/>
      <c r="L2" s="26"/>
      <c r="M2" s="26" t="s">
        <v>105</v>
      </c>
      <c r="N2" s="26"/>
      <c r="O2" s="26" t="s">
        <v>106</v>
      </c>
      <c r="P2" s="26" t="s">
        <v>107</v>
      </c>
      <c r="Q2" s="26" t="s">
        <v>108</v>
      </c>
      <c r="R2" s="26"/>
      <c r="S2" s="26"/>
      <c r="T2" s="26"/>
      <c r="U2" s="26" t="s">
        <v>109</v>
      </c>
      <c r="V2" s="26" t="s">
        <v>110</v>
      </c>
      <c r="W2" s="26"/>
      <c r="X2" s="26" t="s">
        <v>111</v>
      </c>
      <c r="Y2" s="26" t="s">
        <v>112</v>
      </c>
      <c r="Z2" s="26"/>
      <c r="AA2" s="26"/>
      <c r="AB2" s="26"/>
      <c r="AC2" s="26" t="s">
        <v>113</v>
      </c>
      <c r="AD2" s="26"/>
    </row>
    <row r="3" spans="1:30" x14ac:dyDescent="0.25">
      <c r="A3" s="24" t="str">
        <v>machine</v>
      </c>
      <c r="B3" s="26" t="s">
        <v>114</v>
      </c>
      <c r="C3" s="26"/>
      <c r="D3" s="26"/>
      <c r="E3" s="26" t="s">
        <v>114</v>
      </c>
      <c r="F3" s="26"/>
      <c r="G3" s="26" t="s">
        <v>104</v>
      </c>
      <c r="H3" s="26" t="s">
        <v>114</v>
      </c>
      <c r="I3" s="26"/>
      <c r="J3" s="26" t="s">
        <v>114</v>
      </c>
      <c r="K3" s="26"/>
      <c r="L3" s="26"/>
      <c r="M3" s="26"/>
      <c r="N3" s="26" t="s">
        <v>114</v>
      </c>
      <c r="O3" s="26" t="s">
        <v>114</v>
      </c>
      <c r="P3" s="26"/>
      <c r="Q3" s="26" t="s">
        <v>108</v>
      </c>
      <c r="R3" s="26"/>
      <c r="S3" s="26"/>
      <c r="T3" s="26"/>
      <c r="U3" s="26" t="s">
        <v>109</v>
      </c>
      <c r="V3" s="26" t="s">
        <v>110</v>
      </c>
      <c r="W3" s="26"/>
      <c r="X3" s="26"/>
      <c r="Y3" s="26"/>
      <c r="Z3" s="26"/>
      <c r="AA3" s="26" t="s">
        <v>114</v>
      </c>
      <c r="AB3" s="26"/>
      <c r="AC3" s="26" t="s">
        <v>114</v>
      </c>
      <c r="AD3" s="26"/>
    </row>
    <row r="4" spans="1:30" x14ac:dyDescent="0.25">
      <c r="A4" s="24" t="str">
        <v>welding</v>
      </c>
      <c r="B4" s="26" t="s">
        <v>114</v>
      </c>
      <c r="C4" s="26"/>
      <c r="D4" s="26"/>
      <c r="E4" s="26" t="s">
        <v>114</v>
      </c>
      <c r="F4" s="26"/>
      <c r="G4" s="26" t="s">
        <v>104</v>
      </c>
      <c r="H4" s="26" t="s">
        <v>114</v>
      </c>
      <c r="I4" s="26"/>
      <c r="J4" s="26" t="s">
        <v>114</v>
      </c>
      <c r="K4" s="26"/>
      <c r="L4" s="26"/>
      <c r="M4" s="26"/>
      <c r="N4" s="26" t="s">
        <v>114</v>
      </c>
      <c r="O4" s="26"/>
      <c r="P4" s="26"/>
      <c r="Q4" s="26" t="s">
        <v>108</v>
      </c>
      <c r="R4" s="26"/>
      <c r="S4" s="26"/>
      <c r="T4" s="26"/>
      <c r="U4" s="26" t="s">
        <v>109</v>
      </c>
      <c r="V4" s="26" t="s">
        <v>110</v>
      </c>
      <c r="W4" s="26"/>
      <c r="X4" s="26"/>
      <c r="Y4" s="26"/>
      <c r="Z4" s="26"/>
      <c r="AA4" s="26" t="s">
        <v>114</v>
      </c>
      <c r="AB4" s="26"/>
      <c r="AC4" s="26" t="s">
        <v>114</v>
      </c>
      <c r="AD4" s="26"/>
    </row>
    <row r="5" spans="1:30" x14ac:dyDescent="0.25">
      <c r="A5" s="24" t="str">
        <v>folding</v>
      </c>
      <c r="B5" s="26" t="s">
        <v>114</v>
      </c>
      <c r="C5" s="26"/>
      <c r="D5" s="26"/>
      <c r="E5" s="26"/>
      <c r="F5" s="26"/>
      <c r="G5" s="26" t="s">
        <v>104</v>
      </c>
      <c r="H5" s="26" t="s">
        <v>114</v>
      </c>
      <c r="I5" s="26"/>
      <c r="J5" s="26" t="s">
        <v>114</v>
      </c>
      <c r="K5" s="26"/>
      <c r="L5" s="26"/>
      <c r="M5" s="26"/>
      <c r="N5" s="26" t="s">
        <v>114</v>
      </c>
      <c r="O5" s="26" t="s">
        <v>114</v>
      </c>
      <c r="P5" s="26"/>
      <c r="Q5" s="26" t="s">
        <v>108</v>
      </c>
      <c r="R5" s="26"/>
      <c r="S5" s="26"/>
      <c r="T5" s="26"/>
      <c r="U5" s="26" t="s">
        <v>109</v>
      </c>
      <c r="V5" s="26" t="s">
        <v>110</v>
      </c>
      <c r="W5" s="26"/>
      <c r="X5" s="26"/>
      <c r="Y5" s="26"/>
      <c r="Z5" s="26" t="s">
        <v>114</v>
      </c>
      <c r="AA5" s="26"/>
      <c r="AB5" s="26"/>
      <c r="AC5" s="26"/>
      <c r="AD5" s="26"/>
    </row>
    <row r="6" spans="1:30" x14ac:dyDescent="0.25">
      <c r="A6" s="24" t="str">
        <v>rolling</v>
      </c>
      <c r="B6" s="26" t="s">
        <v>114</v>
      </c>
      <c r="C6" s="26"/>
      <c r="D6" s="26"/>
      <c r="E6" s="26"/>
      <c r="F6" s="26"/>
      <c r="G6" s="26" t="s">
        <v>104</v>
      </c>
      <c r="H6" s="26" t="s">
        <v>114</v>
      </c>
      <c r="I6" s="26"/>
      <c r="J6" s="26" t="s">
        <v>114</v>
      </c>
      <c r="K6" s="26"/>
      <c r="L6" s="26"/>
      <c r="M6" s="26"/>
      <c r="N6" s="26" t="s">
        <v>114</v>
      </c>
      <c r="O6" s="26" t="s">
        <v>114</v>
      </c>
      <c r="P6" s="26"/>
      <c r="Q6" s="26" t="s">
        <v>108</v>
      </c>
      <c r="R6" s="26"/>
      <c r="S6" s="26"/>
      <c r="T6" s="26"/>
      <c r="U6" s="26" t="s">
        <v>109</v>
      </c>
      <c r="V6" s="26" t="s">
        <v>110</v>
      </c>
      <c r="W6" s="26"/>
      <c r="X6" s="26"/>
      <c r="Y6" s="26"/>
      <c r="Z6" s="26" t="s">
        <v>114</v>
      </c>
      <c r="AA6" s="26"/>
      <c r="AB6" s="26"/>
      <c r="AC6" s="26"/>
      <c r="AD6" s="26"/>
    </row>
    <row r="7" spans="1:30" x14ac:dyDescent="0.25">
      <c r="A7" s="24" t="str">
        <v>casting</v>
      </c>
      <c r="B7" s="26" t="s">
        <v>114</v>
      </c>
      <c r="C7" s="26"/>
      <c r="D7" s="26"/>
      <c r="E7" s="26"/>
      <c r="F7" s="26"/>
      <c r="G7" s="26" t="s">
        <v>104</v>
      </c>
      <c r="H7" s="26" t="s">
        <v>114</v>
      </c>
      <c r="I7" s="26"/>
      <c r="J7" s="26" t="s">
        <v>114</v>
      </c>
      <c r="K7" s="26"/>
      <c r="L7" s="26"/>
      <c r="M7" s="26"/>
      <c r="N7" s="26" t="s">
        <v>114</v>
      </c>
      <c r="O7" s="26" t="s">
        <v>114</v>
      </c>
      <c r="P7" s="26"/>
      <c r="Q7" s="26" t="s">
        <v>108</v>
      </c>
      <c r="R7" s="26"/>
      <c r="S7" s="26"/>
      <c r="T7" s="26"/>
      <c r="U7" s="26" t="s">
        <v>109</v>
      </c>
      <c r="V7" s="26" t="s">
        <v>110</v>
      </c>
      <c r="W7" s="26"/>
      <c r="X7" s="26"/>
      <c r="Y7" s="26"/>
      <c r="Z7" s="26"/>
      <c r="AA7" s="26" t="s">
        <v>114</v>
      </c>
      <c r="AB7" s="26"/>
      <c r="AC7" s="26"/>
      <c r="AD7" s="26"/>
    </row>
    <row r="8" spans="1:30" x14ac:dyDescent="0.25">
      <c r="A8" s="24" t="str">
        <v>lasercut</v>
      </c>
      <c r="B8" s="26" t="s">
        <v>114</v>
      </c>
      <c r="C8" s="26"/>
      <c r="D8" s="26"/>
      <c r="E8" s="26"/>
      <c r="F8" s="26"/>
      <c r="G8" s="26" t="s">
        <v>104</v>
      </c>
      <c r="H8" s="26" t="s">
        <v>114</v>
      </c>
      <c r="I8" s="26"/>
      <c r="J8" s="26" t="s">
        <v>114</v>
      </c>
      <c r="K8" s="26"/>
      <c r="L8" s="26"/>
      <c r="M8" s="26"/>
      <c r="N8" s="26" t="s">
        <v>114</v>
      </c>
      <c r="O8" s="26" t="s">
        <v>114</v>
      </c>
      <c r="P8" s="26"/>
      <c r="Q8" s="26" t="s">
        <v>108</v>
      </c>
      <c r="R8" s="26"/>
      <c r="S8" s="26"/>
      <c r="T8" s="26"/>
      <c r="U8" s="26" t="s">
        <v>109</v>
      </c>
      <c r="V8" s="26" t="s">
        <v>110</v>
      </c>
      <c r="W8" s="26"/>
      <c r="X8" s="26"/>
      <c r="Y8" s="26"/>
      <c r="Z8" s="26" t="s">
        <v>114</v>
      </c>
      <c r="AA8" s="26"/>
      <c r="AB8" s="26"/>
      <c r="AC8" s="26"/>
      <c r="AD8" s="26"/>
    </row>
    <row r="9" spans="1:30" x14ac:dyDescent="0.25">
      <c r="A9" s="24" t="str">
        <v>profile cut</v>
      </c>
      <c r="B9" s="26" t="s">
        <v>114</v>
      </c>
      <c r="C9" s="26"/>
      <c r="D9" s="26"/>
      <c r="E9" s="26"/>
      <c r="F9" s="26"/>
      <c r="G9" s="26" t="s">
        <v>104</v>
      </c>
      <c r="H9" s="26" t="s">
        <v>114</v>
      </c>
      <c r="I9" s="26"/>
      <c r="J9" s="26" t="s">
        <v>114</v>
      </c>
      <c r="K9" s="26"/>
      <c r="L9" s="26"/>
      <c r="M9" s="26"/>
      <c r="N9" s="26" t="s">
        <v>114</v>
      </c>
      <c r="O9" s="26" t="s">
        <v>114</v>
      </c>
      <c r="P9" s="26"/>
      <c r="Q9" s="26" t="s">
        <v>108</v>
      </c>
      <c r="R9" s="26"/>
      <c r="S9" s="26"/>
      <c r="T9" s="26"/>
      <c r="U9" s="26" t="s">
        <v>109</v>
      </c>
      <c r="V9" s="26" t="s">
        <v>110</v>
      </c>
      <c r="W9" s="26"/>
      <c r="X9" s="26"/>
      <c r="Y9" s="26"/>
      <c r="Z9" s="26" t="s">
        <v>114</v>
      </c>
      <c r="AA9" s="26"/>
      <c r="AB9" s="26"/>
      <c r="AC9" s="26"/>
      <c r="AD9" s="26"/>
    </row>
    <row r="10" spans="1:30" x14ac:dyDescent="0.25">
      <c r="A10" s="24" t="str">
        <v>3d laser</v>
      </c>
      <c r="B10" s="26" t="s">
        <v>114</v>
      </c>
      <c r="C10" s="26"/>
      <c r="D10" s="26"/>
      <c r="E10" s="26"/>
      <c r="F10" s="26"/>
      <c r="G10" s="26" t="s">
        <v>104</v>
      </c>
      <c r="H10" s="26" t="s">
        <v>114</v>
      </c>
      <c r="I10" s="26"/>
      <c r="J10" s="26" t="s">
        <v>114</v>
      </c>
      <c r="K10" s="26"/>
      <c r="L10" s="26"/>
      <c r="M10" s="26"/>
      <c r="N10" s="26" t="s">
        <v>114</v>
      </c>
      <c r="O10" s="26" t="s">
        <v>114</v>
      </c>
      <c r="P10" s="26"/>
      <c r="Q10" s="26" t="s">
        <v>108</v>
      </c>
      <c r="R10" s="26"/>
      <c r="S10" s="26"/>
      <c r="T10" s="26"/>
      <c r="U10" s="26" t="s">
        <v>109</v>
      </c>
      <c r="V10" s="26" t="s">
        <v>110</v>
      </c>
      <c r="W10" s="26"/>
      <c r="X10" s="26"/>
      <c r="Y10" s="26"/>
      <c r="Z10" s="26"/>
      <c r="AA10" s="26"/>
      <c r="AB10" s="26"/>
      <c r="AC10" s="26"/>
      <c r="AD10" s="26"/>
    </row>
    <row r="11" spans="1:30" x14ac:dyDescent="0.25">
      <c r="A11" s="24" t="str">
        <v>cutting</v>
      </c>
      <c r="B11" s="26" t="s">
        <v>114</v>
      </c>
      <c r="C11" s="26"/>
      <c r="D11" s="26"/>
      <c r="E11" s="26"/>
      <c r="F11" s="26"/>
      <c r="G11" s="26" t="s">
        <v>104</v>
      </c>
      <c r="H11" s="26" t="s">
        <v>114</v>
      </c>
      <c r="I11" s="26"/>
      <c r="J11" s="26" t="s">
        <v>114</v>
      </c>
      <c r="K11" s="26"/>
      <c r="L11" s="26"/>
      <c r="M11" s="26"/>
      <c r="N11" s="26" t="s">
        <v>114</v>
      </c>
      <c r="O11" s="26" t="s">
        <v>114</v>
      </c>
      <c r="P11" s="26"/>
      <c r="Q11" s="26" t="s">
        <v>108</v>
      </c>
      <c r="R11" s="26"/>
      <c r="S11" s="26"/>
      <c r="T11" s="26"/>
      <c r="U11" s="26" t="s">
        <v>109</v>
      </c>
      <c r="V11" s="26" t="s">
        <v>110</v>
      </c>
      <c r="W11" s="26"/>
      <c r="X11" s="26"/>
      <c r="Y11" s="26"/>
      <c r="Z11" s="26"/>
      <c r="AA11" s="26"/>
      <c r="AB11" s="26"/>
      <c r="AC11" s="26"/>
      <c r="AD11" s="26"/>
    </row>
    <row r="12" spans="1:30" x14ac:dyDescent="0.25">
      <c r="A12" s="24" t="str">
        <v>sewing</v>
      </c>
      <c r="B12" s="26" t="s">
        <v>114</v>
      </c>
      <c r="C12" s="26"/>
      <c r="D12" s="26"/>
      <c r="E12" s="26"/>
      <c r="F12" s="26"/>
      <c r="G12" s="26" t="s">
        <v>104</v>
      </c>
      <c r="H12" s="26" t="s">
        <v>114</v>
      </c>
      <c r="I12" s="26"/>
      <c r="J12" s="26" t="s">
        <v>114</v>
      </c>
      <c r="K12" s="26"/>
      <c r="L12" s="26"/>
      <c r="M12" s="26"/>
      <c r="N12" s="26" t="s">
        <v>114</v>
      </c>
      <c r="O12" s="26" t="s">
        <v>114</v>
      </c>
      <c r="P12" s="26"/>
      <c r="Q12" s="26" t="s">
        <v>108</v>
      </c>
      <c r="R12" s="26"/>
      <c r="S12" s="26"/>
      <c r="T12" s="26"/>
      <c r="U12" s="26" t="s">
        <v>109</v>
      </c>
      <c r="V12" s="26" t="s">
        <v>110</v>
      </c>
      <c r="W12" s="26"/>
      <c r="X12" s="26"/>
      <c r="Y12" s="26"/>
      <c r="Z12" s="26"/>
      <c r="AA12" s="26"/>
      <c r="AB12" s="26"/>
      <c r="AC12" s="26"/>
      <c r="AD12" s="26"/>
    </row>
    <row r="13" spans="1:30" x14ac:dyDescent="0.25">
      <c r="A13" s="24" t="str">
        <v>3d print</v>
      </c>
      <c r="B13" s="26" t="s">
        <v>114</v>
      </c>
      <c r="C13" s="26"/>
      <c r="D13" s="26"/>
      <c r="E13" s="26"/>
      <c r="F13" s="26"/>
      <c r="G13" s="26" t="s">
        <v>104</v>
      </c>
      <c r="H13" s="26" t="s">
        <v>114</v>
      </c>
      <c r="I13" s="26"/>
      <c r="J13" s="26" t="s">
        <v>114</v>
      </c>
      <c r="K13" s="26"/>
      <c r="L13" s="26"/>
      <c r="M13" s="26"/>
      <c r="N13" s="26" t="s">
        <v>114</v>
      </c>
      <c r="O13" s="26" t="s">
        <v>114</v>
      </c>
      <c r="P13" s="26"/>
      <c r="Q13" s="26" t="s">
        <v>108</v>
      </c>
      <c r="R13" s="26"/>
      <c r="S13" s="26"/>
      <c r="T13" s="26"/>
      <c r="U13" s="26" t="s">
        <v>109</v>
      </c>
      <c r="V13" s="26" t="s">
        <v>110</v>
      </c>
      <c r="W13" s="26"/>
      <c r="X13" s="26"/>
      <c r="Y13" s="26"/>
      <c r="Z13" s="26"/>
      <c r="AA13" s="26"/>
      <c r="AB13" s="26"/>
      <c r="AC13" s="26"/>
      <c r="AD13" s="26"/>
    </row>
    <row r="14" spans="1:30" x14ac:dyDescent="0.25">
      <c r="A14" s="24" t="str">
        <v>stud welding</v>
      </c>
      <c r="B14" s="26" t="s">
        <v>114</v>
      </c>
      <c r="C14" s="26"/>
      <c r="D14" s="26"/>
      <c r="E14" s="26"/>
      <c r="F14" s="26"/>
      <c r="G14" s="26" t="s">
        <v>104</v>
      </c>
      <c r="H14" s="26" t="s">
        <v>114</v>
      </c>
      <c r="I14" s="26"/>
      <c r="J14" s="26" t="s">
        <v>114</v>
      </c>
      <c r="K14" s="26"/>
      <c r="L14" s="26"/>
      <c r="M14" s="26"/>
      <c r="N14" s="26" t="s">
        <v>114</v>
      </c>
      <c r="O14" s="26" t="s">
        <v>114</v>
      </c>
      <c r="P14" s="26"/>
      <c r="Q14" s="26" t="s">
        <v>108</v>
      </c>
      <c r="R14" s="26"/>
      <c r="S14" s="26"/>
      <c r="T14" s="26"/>
      <c r="U14" s="26" t="s">
        <v>109</v>
      </c>
      <c r="V14" s="26" t="s">
        <v>110</v>
      </c>
      <c r="W14" s="26"/>
      <c r="X14" s="26"/>
      <c r="Y14" s="26"/>
      <c r="Z14" s="26"/>
      <c r="AA14" s="26"/>
      <c r="AB14" s="26"/>
      <c r="AC14" s="26"/>
      <c r="AD14" s="26"/>
    </row>
    <row r="15" spans="1:30" x14ac:dyDescent="0.25">
      <c r="A15" s="24" t="str">
        <v>paint</v>
      </c>
      <c r="B15" s="26" t="s">
        <v>114</v>
      </c>
      <c r="C15" s="26"/>
      <c r="D15" s="26"/>
      <c r="E15" s="26"/>
      <c r="F15" s="26"/>
      <c r="G15" s="26" t="s">
        <v>104</v>
      </c>
      <c r="H15" s="26" t="s">
        <v>114</v>
      </c>
      <c r="I15" s="26"/>
      <c r="J15" s="26" t="s">
        <v>114</v>
      </c>
      <c r="K15" s="26"/>
      <c r="L15" s="26"/>
      <c r="M15" s="26"/>
      <c r="N15" s="26" t="s">
        <v>114</v>
      </c>
      <c r="O15" s="26"/>
      <c r="P15" s="26"/>
      <c r="Q15" s="26" t="s">
        <v>108</v>
      </c>
      <c r="R15" s="26"/>
      <c r="S15" s="26"/>
      <c r="T15" s="26"/>
      <c r="U15" s="26" t="s">
        <v>109</v>
      </c>
      <c r="V15" s="26" t="s">
        <v>110</v>
      </c>
      <c r="W15" s="26"/>
      <c r="X15" s="26"/>
      <c r="Y15" s="26"/>
      <c r="Z15" s="26"/>
      <c r="AA15" s="26"/>
      <c r="AB15" s="26" t="s">
        <v>114</v>
      </c>
      <c r="AC15" s="26"/>
      <c r="AD15" s="26"/>
    </row>
    <row r="16" spans="1:30" x14ac:dyDescent="0.25">
      <c r="A16" s="24" t="str">
        <v>zinc</v>
      </c>
      <c r="B16" s="26" t="s">
        <v>114</v>
      </c>
      <c r="C16" s="26"/>
      <c r="D16" s="26"/>
      <c r="E16" s="26"/>
      <c r="F16" s="26"/>
      <c r="G16" s="26" t="s">
        <v>104</v>
      </c>
      <c r="H16" s="26" t="s">
        <v>114</v>
      </c>
      <c r="I16" s="26"/>
      <c r="J16" s="26" t="s">
        <v>114</v>
      </c>
      <c r="K16" s="26"/>
      <c r="L16" s="26"/>
      <c r="M16" s="26"/>
      <c r="N16" s="26" t="s">
        <v>114</v>
      </c>
      <c r="O16" s="26"/>
      <c r="P16" s="26"/>
      <c r="Q16" s="26" t="s">
        <v>108</v>
      </c>
      <c r="R16" s="26"/>
      <c r="S16" s="26"/>
      <c r="T16" s="26"/>
      <c r="U16" s="26" t="s">
        <v>109</v>
      </c>
      <c r="V16" s="26" t="s">
        <v>110</v>
      </c>
      <c r="W16" s="26"/>
      <c r="X16" s="26"/>
      <c r="Y16" s="26"/>
      <c r="Z16" s="26"/>
      <c r="AA16" s="26"/>
      <c r="AB16" s="26"/>
      <c r="AC16" s="26"/>
      <c r="AD16" s="26"/>
    </row>
    <row r="17" spans="1:30" x14ac:dyDescent="0.25">
      <c r="A17" s="24" t="str">
        <v>galvanize</v>
      </c>
      <c r="B17" s="26" t="s">
        <v>114</v>
      </c>
      <c r="C17" s="26"/>
      <c r="D17" s="26"/>
      <c r="E17" s="26"/>
      <c r="F17" s="26"/>
      <c r="G17" s="26" t="s">
        <v>104</v>
      </c>
      <c r="H17" s="26" t="s">
        <v>114</v>
      </c>
      <c r="I17" s="26"/>
      <c r="J17" s="26" t="s">
        <v>114</v>
      </c>
      <c r="K17" s="26"/>
      <c r="L17" s="26"/>
      <c r="M17" s="26"/>
      <c r="N17" s="26" t="s">
        <v>114</v>
      </c>
      <c r="O17" s="26"/>
      <c r="P17" s="26"/>
      <c r="Q17" s="26" t="s">
        <v>108</v>
      </c>
      <c r="R17" s="26"/>
      <c r="S17" s="26"/>
      <c r="T17" s="26"/>
      <c r="U17" s="26" t="s">
        <v>109</v>
      </c>
      <c r="V17" s="26" t="s">
        <v>110</v>
      </c>
      <c r="W17" s="26"/>
      <c r="X17" s="26"/>
      <c r="Y17" s="26"/>
      <c r="Z17" s="26"/>
      <c r="AA17" s="26"/>
      <c r="AB17" s="26"/>
      <c r="AC17" s="26"/>
      <c r="AD17" s="26"/>
    </row>
    <row r="18" spans="1:30" x14ac:dyDescent="0.25">
      <c r="A18" s="24" t="str">
        <v>nickel</v>
      </c>
      <c r="B18" s="26" t="s">
        <v>114</v>
      </c>
      <c r="C18" s="26"/>
      <c r="D18" s="26"/>
      <c r="E18" s="26"/>
      <c r="F18" s="26"/>
      <c r="G18" s="26" t="s">
        <v>104</v>
      </c>
      <c r="H18" s="26" t="s">
        <v>114</v>
      </c>
      <c r="I18" s="26"/>
      <c r="J18" s="26" t="s">
        <v>114</v>
      </c>
      <c r="K18" s="26"/>
      <c r="L18" s="26"/>
      <c r="M18" s="26"/>
      <c r="N18" s="26" t="s">
        <v>114</v>
      </c>
      <c r="O18" s="26" t="s">
        <v>114</v>
      </c>
      <c r="P18" s="26"/>
      <c r="Q18" s="26" t="s">
        <v>108</v>
      </c>
      <c r="R18" s="26"/>
      <c r="S18" s="26"/>
      <c r="T18" s="26"/>
      <c r="U18" s="26" t="s">
        <v>109</v>
      </c>
      <c r="V18" s="26" t="s">
        <v>110</v>
      </c>
      <c r="W18" s="26"/>
      <c r="X18" s="26"/>
      <c r="Y18" s="26"/>
      <c r="Z18" s="26"/>
      <c r="AA18" s="26"/>
      <c r="AB18" s="26"/>
      <c r="AC18" s="26"/>
      <c r="AD18" s="26"/>
    </row>
    <row r="19" spans="1:30" x14ac:dyDescent="0.25">
      <c r="A19" s="24" t="str">
        <v>aws production</v>
      </c>
      <c r="B19" s="26"/>
      <c r="C19" s="26"/>
      <c r="D19" s="26"/>
      <c r="E19" s="26"/>
      <c r="F19" s="26"/>
      <c r="G19" s="26" t="s">
        <v>104</v>
      </c>
      <c r="H19" s="26" t="s">
        <v>114</v>
      </c>
      <c r="I19" s="26"/>
      <c r="J19" s="26" t="s">
        <v>114</v>
      </c>
      <c r="K19" s="26"/>
      <c r="L19" s="26"/>
      <c r="M19" s="26"/>
      <c r="N19" s="26" t="s">
        <v>114</v>
      </c>
      <c r="O19" s="26"/>
      <c r="P19" s="26"/>
      <c r="Q19" s="26" t="s">
        <v>108</v>
      </c>
      <c r="R19" s="26"/>
      <c r="S19" s="26"/>
      <c r="T19" s="26"/>
      <c r="U19" s="26" t="s">
        <v>109</v>
      </c>
      <c r="V19" s="26" t="s">
        <v>110</v>
      </c>
      <c r="W19" s="26"/>
      <c r="X19" s="26"/>
      <c r="Y19" s="26"/>
      <c r="Z19" s="26"/>
      <c r="AA19" s="26" t="s">
        <v>114</v>
      </c>
      <c r="AB19" s="26"/>
      <c r="AC19" s="26"/>
      <c r="AD19" s="26"/>
    </row>
    <row r="20" spans="1:30" x14ac:dyDescent="0.25">
      <c r="A20" s="24" t="str">
        <v>assembly</v>
      </c>
      <c r="B20" s="26"/>
      <c r="C20" s="26"/>
      <c r="D20" s="26"/>
      <c r="E20" s="26"/>
      <c r="F20" s="26"/>
      <c r="G20" s="26" t="s">
        <v>104</v>
      </c>
      <c r="H20" s="26" t="s">
        <v>114</v>
      </c>
      <c r="I20" s="26"/>
      <c r="J20" s="26" t="s">
        <v>114</v>
      </c>
      <c r="K20" s="26"/>
      <c r="L20" s="26"/>
      <c r="M20" s="26"/>
      <c r="N20" s="26" t="s">
        <v>114</v>
      </c>
      <c r="O20" s="26"/>
      <c r="P20" s="26"/>
      <c r="Q20" s="26" t="s">
        <v>108</v>
      </c>
      <c r="R20" s="26"/>
      <c r="S20" s="26"/>
      <c r="T20" s="26"/>
      <c r="U20" s="26" t="s">
        <v>109</v>
      </c>
      <c r="V20" s="26" t="s">
        <v>110</v>
      </c>
      <c r="W20" s="26"/>
      <c r="X20" s="26"/>
      <c r="Y20" s="26"/>
      <c r="Z20" s="26"/>
      <c r="AA20" s="26"/>
      <c r="AB20" s="26"/>
      <c r="AC20" s="26"/>
      <c r="AD20" s="26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5"/>
  <sheetViews>
    <sheetView zoomScale="115" zoomScaleNormal="115" workbookViewId="0">
      <selection activeCell="C15" sqref="C15"/>
    </sheetView>
  </sheetViews>
  <sheetFormatPr defaultColWidth="11.5703125" defaultRowHeight="15" x14ac:dyDescent="0.25"/>
  <cols>
    <col min="1" max="2" width="22" customWidth="1"/>
    <col min="6" max="6" width="16.7109375" customWidth="1"/>
  </cols>
  <sheetData>
    <row r="1" spans="1:11" x14ac:dyDescent="0.25">
      <c r="A1" t="s">
        <v>136</v>
      </c>
      <c r="B1" t="s">
        <v>189</v>
      </c>
      <c r="C1" t="s">
        <v>137</v>
      </c>
      <c r="D1" t="s">
        <v>138</v>
      </c>
      <c r="E1" t="s">
        <v>74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</row>
    <row r="2" spans="1:11" x14ac:dyDescent="0.25">
      <c r="A2" t="s">
        <v>145</v>
      </c>
      <c r="B2" t="s">
        <v>177</v>
      </c>
      <c r="C2" t="s">
        <v>166</v>
      </c>
      <c r="E2" t="s">
        <v>146</v>
      </c>
      <c r="F2" t="s">
        <v>147</v>
      </c>
      <c r="G2" t="s">
        <v>148</v>
      </c>
      <c r="H2" t="s">
        <v>149</v>
      </c>
    </row>
    <row r="3" spans="1:11" x14ac:dyDescent="0.25">
      <c r="A3" t="s">
        <v>150</v>
      </c>
      <c r="B3" t="s">
        <v>178</v>
      </c>
      <c r="C3" t="s">
        <v>114</v>
      </c>
      <c r="E3" t="s">
        <v>150</v>
      </c>
      <c r="F3" t="s">
        <v>150</v>
      </c>
    </row>
    <row r="4" spans="1:11" x14ac:dyDescent="0.25">
      <c r="A4" t="s">
        <v>5</v>
      </c>
      <c r="B4" t="s">
        <v>179</v>
      </c>
      <c r="C4" t="s">
        <v>114</v>
      </c>
      <c r="E4" t="s">
        <v>5</v>
      </c>
      <c r="F4" t="s">
        <v>5</v>
      </c>
    </row>
    <row r="5" spans="1:11" x14ac:dyDescent="0.25">
      <c r="A5" t="s">
        <v>6</v>
      </c>
      <c r="B5" t="s">
        <v>180</v>
      </c>
      <c r="C5" t="s">
        <v>114</v>
      </c>
      <c r="E5" t="s">
        <v>6</v>
      </c>
      <c r="F5" t="s">
        <v>6</v>
      </c>
    </row>
    <row r="6" spans="1:11" x14ac:dyDescent="0.25">
      <c r="A6" t="s">
        <v>174</v>
      </c>
      <c r="B6" t="s">
        <v>185</v>
      </c>
      <c r="C6" t="s">
        <v>114</v>
      </c>
      <c r="E6" t="s">
        <v>151</v>
      </c>
      <c r="F6" s="18" t="s">
        <v>171</v>
      </c>
      <c r="G6" s="18" t="s">
        <v>173</v>
      </c>
      <c r="H6" t="s">
        <v>167</v>
      </c>
      <c r="I6" t="s">
        <v>169</v>
      </c>
    </row>
    <row r="7" spans="1:11" x14ac:dyDescent="0.25">
      <c r="A7" t="s">
        <v>175</v>
      </c>
      <c r="B7" t="s">
        <v>186</v>
      </c>
      <c r="C7" t="s">
        <v>166</v>
      </c>
      <c r="E7" t="s">
        <v>151</v>
      </c>
      <c r="F7" s="18" t="s">
        <v>172</v>
      </c>
      <c r="G7" t="s">
        <v>168</v>
      </c>
    </row>
    <row r="8" spans="1:11" x14ac:dyDescent="0.25">
      <c r="A8" t="s">
        <v>7</v>
      </c>
      <c r="B8" t="s">
        <v>181</v>
      </c>
      <c r="C8" t="s">
        <v>114</v>
      </c>
      <c r="E8" t="s">
        <v>7</v>
      </c>
      <c r="F8" t="s">
        <v>7</v>
      </c>
      <c r="G8" t="s">
        <v>152</v>
      </c>
    </row>
    <row r="9" spans="1:11" x14ac:dyDescent="0.25">
      <c r="A9" t="s">
        <v>153</v>
      </c>
      <c r="B9" t="s">
        <v>182</v>
      </c>
      <c r="C9" t="s">
        <v>166</v>
      </c>
      <c r="E9" t="s">
        <v>154</v>
      </c>
      <c r="F9" t="s">
        <v>154</v>
      </c>
    </row>
    <row r="10" spans="1:11" x14ac:dyDescent="0.25">
      <c r="A10" t="s">
        <v>62</v>
      </c>
      <c r="B10" t="s">
        <v>62</v>
      </c>
      <c r="C10" t="s">
        <v>114</v>
      </c>
      <c r="E10" t="s">
        <v>62</v>
      </c>
      <c r="F10" t="s">
        <v>5</v>
      </c>
      <c r="G10" t="s">
        <v>155</v>
      </c>
      <c r="H10" t="s">
        <v>150</v>
      </c>
      <c r="I10" t="s">
        <v>156</v>
      </c>
    </row>
    <row r="11" spans="1:11" x14ac:dyDescent="0.25">
      <c r="A11" t="s">
        <v>157</v>
      </c>
      <c r="B11" t="s">
        <v>183</v>
      </c>
      <c r="C11" t="s">
        <v>166</v>
      </c>
      <c r="E11" t="s">
        <v>157</v>
      </c>
      <c r="F11" t="s">
        <v>150</v>
      </c>
      <c r="G11" t="s">
        <v>155</v>
      </c>
      <c r="H11" t="s">
        <v>156</v>
      </c>
    </row>
    <row r="12" spans="1:11" x14ac:dyDescent="0.25">
      <c r="A12" t="s">
        <v>176</v>
      </c>
      <c r="B12" t="s">
        <v>187</v>
      </c>
      <c r="C12" t="s">
        <v>166</v>
      </c>
      <c r="D12" t="s">
        <v>158</v>
      </c>
      <c r="E12" t="s">
        <v>150</v>
      </c>
      <c r="F12" t="s">
        <v>150</v>
      </c>
    </row>
    <row r="13" spans="1:11" x14ac:dyDescent="0.25">
      <c r="A13" t="s">
        <v>43</v>
      </c>
      <c r="B13" t="s">
        <v>184</v>
      </c>
      <c r="C13" t="s">
        <v>166</v>
      </c>
      <c r="E13" t="s">
        <v>43</v>
      </c>
      <c r="F13" t="s">
        <v>5</v>
      </c>
      <c r="G13" t="s">
        <v>155</v>
      </c>
      <c r="H13" t="s">
        <v>150</v>
      </c>
    </row>
    <row r="14" spans="1:11" x14ac:dyDescent="0.25">
      <c r="A14" t="s">
        <v>159</v>
      </c>
      <c r="B14" t="s">
        <v>188</v>
      </c>
      <c r="C14" t="s">
        <v>114</v>
      </c>
      <c r="D14" t="s">
        <v>170</v>
      </c>
      <c r="E14" t="s">
        <v>150</v>
      </c>
      <c r="F14" t="s">
        <v>155</v>
      </c>
    </row>
    <row r="15" spans="1:11" x14ac:dyDescent="0.25">
      <c r="A15" t="s">
        <v>191</v>
      </c>
      <c r="B15" t="s">
        <v>191</v>
      </c>
      <c r="C15" t="s">
        <v>114</v>
      </c>
      <c r="D15" t="s">
        <v>192</v>
      </c>
      <c r="E15" t="s">
        <v>150</v>
      </c>
      <c r="F15" t="s">
        <v>150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2"/>
  <sheetViews>
    <sheetView tabSelected="1" zoomScale="145" zoomScaleNormal="145" workbookViewId="0">
      <selection activeCell="B10" sqref="B10"/>
    </sheetView>
  </sheetViews>
  <sheetFormatPr defaultColWidth="8.7109375" defaultRowHeight="15" x14ac:dyDescent="0.25"/>
  <cols>
    <col min="1" max="1" width="74" customWidth="1"/>
    <col min="2" max="2" width="78.85546875" customWidth="1"/>
    <col min="3" max="3" width="29" customWidth="1"/>
  </cols>
  <sheetData>
    <row r="1" spans="1:3" x14ac:dyDescent="0.25">
      <c r="A1" t="s">
        <v>115</v>
      </c>
      <c r="B1" t="s">
        <v>116</v>
      </c>
    </row>
    <row r="2" spans="1:3" x14ac:dyDescent="0.25">
      <c r="A2" t="s">
        <v>117</v>
      </c>
      <c r="B2" t="s">
        <v>118</v>
      </c>
    </row>
    <row r="3" spans="1:3" x14ac:dyDescent="0.25">
      <c r="A3" t="s">
        <v>119</v>
      </c>
      <c r="B3" t="s">
        <v>120</v>
      </c>
    </row>
    <row r="4" spans="1:3" x14ac:dyDescent="0.25">
      <c r="A4" t="s">
        <v>121</v>
      </c>
      <c r="B4" t="s">
        <v>122</v>
      </c>
    </row>
    <row r="5" spans="1:3" x14ac:dyDescent="0.25">
      <c r="A5" t="s">
        <v>123</v>
      </c>
      <c r="B5" t="s">
        <v>124</v>
      </c>
    </row>
    <row r="6" spans="1:3" x14ac:dyDescent="0.25">
      <c r="A6" t="s">
        <v>125</v>
      </c>
      <c r="B6" t="s">
        <v>126</v>
      </c>
    </row>
    <row r="7" spans="1:3" x14ac:dyDescent="0.25">
      <c r="A7" t="s">
        <v>127</v>
      </c>
      <c r="B7" t="s">
        <v>128</v>
      </c>
    </row>
    <row r="8" spans="1:3" x14ac:dyDescent="0.25">
      <c r="A8" t="s">
        <v>129</v>
      </c>
      <c r="B8" t="s">
        <v>130</v>
      </c>
    </row>
    <row r="9" spans="1:3" x14ac:dyDescent="0.25">
      <c r="A9" s="27" t="s">
        <v>131</v>
      </c>
      <c r="B9" s="27" t="s">
        <v>132</v>
      </c>
    </row>
    <row r="10" spans="1:3" x14ac:dyDescent="0.25">
      <c r="A10" t="s">
        <v>133</v>
      </c>
      <c r="B10" t="s">
        <v>203</v>
      </c>
    </row>
    <row r="11" spans="1:3" x14ac:dyDescent="0.25">
      <c r="A11" t="s">
        <v>134</v>
      </c>
      <c r="B11" t="s">
        <v>202</v>
      </c>
      <c r="C11" t="s">
        <v>197</v>
      </c>
    </row>
    <row r="12" spans="1:3" x14ac:dyDescent="0.25">
      <c r="A12" t="s">
        <v>135</v>
      </c>
      <c r="B12" t="s">
        <v>201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files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Francisco Quesada</cp:lastModifiedBy>
  <cp:revision>19</cp:revision>
  <dcterms:created xsi:type="dcterms:W3CDTF">2021-05-09T03:02:59Z</dcterms:created>
  <dcterms:modified xsi:type="dcterms:W3CDTF">2024-03-31T01:15:06Z</dcterms:modified>
  <dc:language>en-GB</dc:language>
</cp:coreProperties>
</file>