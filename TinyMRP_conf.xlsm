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5.54\tinymrp\"/>
    </mc:Choice>
  </mc:AlternateContent>
  <xr:revisionPtr revIDLastSave="0" documentId="13_ncr:1_{0C281B40-4990-4D47-9445-2595B58DFEE4}" xr6:coauthVersionLast="47" xr6:coauthVersionMax="47" xr10:uidLastSave="{00000000-0000-0000-0000-000000000000}"/>
  <bookViews>
    <workbookView xWindow="-120" yWindow="-120" windowWidth="29040" windowHeight="16440" activeTab="3" xr2:uid="{C028F1AF-4EE2-46E1-8DAE-8310465E0336}"/>
  </bookViews>
  <sheets>
    <sheet name="process" sheetId="3" r:id="rId1"/>
    <sheet name="property" sheetId="4" r:id="rId2"/>
    <sheet name="processfields" sheetId="7" r:id="rId3"/>
    <sheet name="variables" sheetId="5" r:id="rId4"/>
    <sheet name="SETUP LINKS AND TO CHECK" sheetId="6" r:id="rId5"/>
  </sheets>
  <functionGroups builtInGroupCount="19"/>
  <definedNames>
    <definedName name="_xlnm._FilterDatabase" localSheetId="0" hidden="1">process!$A$1:$H$20</definedName>
    <definedName name="_xlnm._FilterDatabase" localSheetId="1" hidden="1">property!$A$1:$I$28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7" l="1" a="1"/>
  <c r="A1" i="7" s="1"/>
  <c r="I30" i="4"/>
  <c r="C30" i="4"/>
  <c r="I29" i="4"/>
  <c r="C29" i="4"/>
  <c r="C28" i="4"/>
  <c r="C3" i="4"/>
  <c r="C24" i="4"/>
  <c r="C13" i="4"/>
  <c r="C16" i="4"/>
  <c r="C27" i="4"/>
  <c r="C8" i="4"/>
  <c r="C4" i="4"/>
  <c r="C14" i="4"/>
  <c r="C26" i="4"/>
  <c r="C21" i="4"/>
  <c r="C6" i="4"/>
  <c r="C12" i="4"/>
  <c r="C17" i="4"/>
  <c r="C18" i="4"/>
  <c r="C19" i="4"/>
  <c r="C20" i="4"/>
  <c r="C25" i="4"/>
  <c r="C7" i="4"/>
  <c r="C10" i="4"/>
  <c r="C15" i="4"/>
  <c r="C22" i="4"/>
  <c r="C23" i="4"/>
  <c r="C2" i="4"/>
  <c r="B1" i="7" s="1" a="1"/>
  <c r="I23" i="4"/>
  <c r="I8" i="4"/>
  <c r="I22" i="4"/>
  <c r="I21" i="4"/>
  <c r="I15" i="4"/>
  <c r="I14" i="4"/>
  <c r="I10" i="4"/>
  <c r="I7" i="4"/>
  <c r="D4" i="3"/>
  <c r="D19" i="3"/>
  <c r="D14" i="3"/>
  <c r="D8" i="3"/>
  <c r="D13" i="3"/>
  <c r="D17" i="3"/>
  <c r="D15" i="3"/>
  <c r="D12" i="3"/>
  <c r="D6" i="3"/>
  <c r="D2" i="3"/>
  <c r="D10" i="3"/>
  <c r="D11" i="3"/>
  <c r="D9" i="3"/>
  <c r="D7" i="3"/>
  <c r="D16" i="3"/>
  <c r="D18" i="3"/>
  <c r="D3" i="3"/>
  <c r="D5" i="3"/>
  <c r="D20" i="3"/>
  <c r="B1" i="7" l="1"/>
  <c r="Z1" i="7"/>
  <c r="R1" i="7"/>
  <c r="J1" i="7"/>
  <c r="S1" i="7"/>
  <c r="C1" i="7"/>
  <c r="Y1" i="7"/>
  <c r="Q1" i="7"/>
  <c r="I1" i="7"/>
  <c r="X1" i="7"/>
  <c r="P1" i="7"/>
  <c r="H1" i="7"/>
  <c r="AA1" i="7"/>
  <c r="W1" i="7"/>
  <c r="O1" i="7"/>
  <c r="G1" i="7"/>
  <c r="AD1" i="7"/>
  <c r="V1" i="7"/>
  <c r="N1" i="7"/>
  <c r="F1" i="7"/>
  <c r="AB1" i="7"/>
  <c r="T1" i="7"/>
  <c r="L1" i="7"/>
  <c r="D1" i="7"/>
  <c r="AC1" i="7"/>
  <c r="U1" i="7"/>
  <c r="M1" i="7"/>
  <c r="E1" i="7"/>
  <c r="K1" i="7"/>
  <c r="A13" i="7"/>
  <c r="A7" i="7"/>
  <c r="A15" i="7"/>
  <c r="A6" i="7"/>
  <c r="A14" i="7"/>
  <c r="A8" i="7"/>
  <c r="A16" i="7"/>
  <c r="A9" i="7"/>
  <c r="A17" i="7"/>
  <c r="A5" i="7"/>
  <c r="A2" i="7"/>
  <c r="A10" i="7"/>
  <c r="A18" i="7"/>
  <c r="A3" i="7"/>
  <c r="A11" i="7"/>
  <c r="A19" i="7"/>
  <c r="A4" i="7"/>
  <c r="A12" i="7"/>
  <c r="A20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<sst xmlns="http://schemas.openxmlformats.org/spreadsheetml/2006/main" count="391" uniqueCount="161">
  <si>
    <t>process</t>
  </si>
  <si>
    <t>priority</t>
  </si>
  <si>
    <t>icon</t>
  </si>
  <si>
    <t>pdf</t>
  </si>
  <si>
    <t>dxf</t>
  </si>
  <si>
    <t>step</t>
  </si>
  <si>
    <t>datasheet</t>
  </si>
  <si>
    <t>required_properties</t>
  </si>
  <si>
    <t>hardware</t>
  </si>
  <si>
    <t>purchase</t>
  </si>
  <si>
    <t>supplier, supplier_partnumber</t>
  </si>
  <si>
    <t>machine</t>
  </si>
  <si>
    <t>sewing</t>
  </si>
  <si>
    <t>folding</t>
  </si>
  <si>
    <t>rolling</t>
  </si>
  <si>
    <t>lasercut</t>
  </si>
  <si>
    <t>thickness</t>
  </si>
  <si>
    <t>welding</t>
  </si>
  <si>
    <t>cutting</t>
  </si>
  <si>
    <t>paint</t>
  </si>
  <si>
    <t>assembly</t>
  </si>
  <si>
    <t>label</t>
  </si>
  <si>
    <t>others</t>
  </si>
  <si>
    <t>custom_property</t>
  </si>
  <si>
    <t>category</t>
  </si>
  <si>
    <t>type</t>
  </si>
  <si>
    <t>rename</t>
  </si>
  <si>
    <t>required</t>
  </si>
  <si>
    <t>description</t>
  </si>
  <si>
    <t>finish</t>
  </si>
  <si>
    <t>item_no</t>
  </si>
  <si>
    <t>mass</t>
  </si>
  <si>
    <t>float</t>
  </si>
  <si>
    <t>material</t>
  </si>
  <si>
    <t>partnumber</t>
  </si>
  <si>
    <t>process2</t>
  </si>
  <si>
    <t>process3</t>
  </si>
  <si>
    <t>qty</t>
  </si>
  <si>
    <t>int</t>
  </si>
  <si>
    <t>revision</t>
  </si>
  <si>
    <t>sw_configuration</t>
  </si>
  <si>
    <t>sw_file</t>
  </si>
  <si>
    <t>sw_folder</t>
  </si>
  <si>
    <t>standard</t>
  </si>
  <si>
    <t>supplier</t>
  </si>
  <si>
    <t>drawndate</t>
  </si>
  <si>
    <t>link</t>
  </si>
  <si>
    <t>oem</t>
  </si>
  <si>
    <t>spare_part</t>
  </si>
  <si>
    <t>bool</t>
  </si>
  <si>
    <t>supplier_partnumber</t>
  </si>
  <si>
    <t>tinymrp</t>
  </si>
  <si>
    <t>C:/TinyMRP/</t>
  </si>
  <si>
    <t>media</t>
  </si>
  <si>
    <t>media/</t>
  </si>
  <si>
    <t>tinymrp_property</t>
  </si>
  <si>
    <t>color</t>
  </si>
  <si>
    <t>colorsample</t>
  </si>
  <si>
    <t>str</t>
  </si>
  <si>
    <t>lowercase_needed</t>
  </si>
  <si>
    <t>purchase.svg</t>
  </si>
  <si>
    <t>machine.svg</t>
  </si>
  <si>
    <t>3d-printing.svg</t>
  </si>
  <si>
    <t>welding.svg</t>
  </si>
  <si>
    <t>lasercut.svg</t>
  </si>
  <si>
    <t>folding.svg</t>
  </si>
  <si>
    <t>hardware.svg</t>
  </si>
  <si>
    <t>assembly.svg</t>
  </si>
  <si>
    <t>sewing.svg</t>
  </si>
  <si>
    <t>profilecut.svg</t>
  </si>
  <si>
    <t>cutting.svg</t>
  </si>
  <si>
    <t>label.svg</t>
  </si>
  <si>
    <t>unknown.svg</t>
  </si>
  <si>
    <t>roll.svg</t>
  </si>
  <si>
    <t>spray.svg</t>
  </si>
  <si>
    <t>combine_with</t>
  </si>
  <si>
    <t>SW-Folder Name(Folder Name)</t>
  </si>
  <si>
    <t>SW-File Name(File Name)</t>
  </si>
  <si>
    <t>PART NUMBER</t>
  </si>
  <si>
    <t>Approved</t>
  </si>
  <si>
    <t>Author</t>
  </si>
  <si>
    <t>Description</t>
  </si>
  <si>
    <t>Material</t>
  </si>
  <si>
    <t>Finish</t>
  </si>
  <si>
    <t>Comments</t>
  </si>
  <si>
    <t>SecondProcess</t>
  </si>
  <si>
    <t>Third Process</t>
  </si>
  <si>
    <t>SW-Configuration Name(Configuration Name)</t>
  </si>
  <si>
    <t>Distributor</t>
  </si>
  <si>
    <t>DrawnDate</t>
  </si>
  <si>
    <t>QTY</t>
  </si>
  <si>
    <t>OEM_Internet</t>
  </si>
  <si>
    <t>OEM_Supplier</t>
  </si>
  <si>
    <t>OEM_Data_Sheet</t>
  </si>
  <si>
    <t>QB_Catergory</t>
  </si>
  <si>
    <t>Sheet Metal Thickness</t>
  </si>
  <si>
    <t>Spare_Part</t>
  </si>
  <si>
    <t>Supplier_Part_Number</t>
  </si>
  <si>
    <t>Treatment</t>
  </si>
  <si>
    <t>Item No.</t>
  </si>
  <si>
    <t>property</t>
  </si>
  <si>
    <t>variable</t>
  </si>
  <si>
    <t>value</t>
  </si>
  <si>
    <t>folderout</t>
  </si>
  <si>
    <t>tinymrp_deliverables</t>
  </si>
  <si>
    <t>X</t>
  </si>
  <si>
    <t>MANUFACTURE(RAPID, THIRD ANGLE)</t>
  </si>
  <si>
    <t>MACHINING</t>
  </si>
  <si>
    <t>PROFILE CUT</t>
  </si>
  <si>
    <t>GASKET</t>
  </si>
  <si>
    <t>deliverables_folder</t>
  </si>
  <si>
    <t>3d-laser.svg</t>
  </si>
  <si>
    <t>profile cut</t>
  </si>
  <si>
    <t>stud welding</t>
  </si>
  <si>
    <t>aws production</t>
  </si>
  <si>
    <t>3d print</t>
  </si>
  <si>
    <t>https://github.com/JazzCore/python-pdfkit/wiki/Installing-wkhtmltopdf</t>
  </si>
  <si>
    <t>To export html pages to pdf , this is needed to be installed. And then added to the path</t>
  </si>
  <si>
    <t>path_wkhtmltopdf</t>
  </si>
  <si>
    <t>C:\Program Files\wkhtmltopdf\bin\wkhtmltopdf.exe</t>
  </si>
  <si>
    <t>approved</t>
  </si>
  <si>
    <t>author</t>
  </si>
  <si>
    <t>treatment</t>
  </si>
  <si>
    <t>configuration</t>
  </si>
  <si>
    <t>file</t>
  </si>
  <si>
    <t>folder</t>
  </si>
  <si>
    <t>database</t>
  </si>
  <si>
    <t>webfileserver</t>
  </si>
  <si>
    <t>Colour</t>
  </si>
  <si>
    <t>colour</t>
  </si>
  <si>
    <t>notes</t>
  </si>
  <si>
    <t>Design_Notes</t>
  </si>
  <si>
    <t>3d laser</t>
  </si>
  <si>
    <t>filelist</t>
  </si>
  <si>
    <t>pdf,dxf,step,png,easm,eprt,edrw,threemf</t>
  </si>
  <si>
    <t>dxf,edr,jpg,jpg_d,pdf,png,png_d,step</t>
  </si>
  <si>
    <t>/Deliverables/</t>
  </si>
  <si>
    <t>fileserver_path</t>
  </si>
  <si>
    <t>datasheet_folder</t>
  </si>
  <si>
    <t>Asset</t>
  </si>
  <si>
    <t>asset</t>
  </si>
  <si>
    <t>webserver</t>
  </si>
  <si>
    <t>/Deliverables/temp/</t>
  </si>
  <si>
    <t>/Fileserver</t>
  </si>
  <si>
    <t>casting</t>
  </si>
  <si>
    <t>casting.svg</t>
  </si>
  <si>
    <t>/datasheet/</t>
  </si>
  <si>
    <t>1</t>
  </si>
  <si>
    <t>yes</t>
  </si>
  <si>
    <t>2</t>
  </si>
  <si>
    <t>3</t>
  </si>
  <si>
    <t>4</t>
  </si>
  <si>
    <t>a</t>
  </si>
  <si>
    <t>c</t>
  </si>
  <si>
    <t>g</t>
  </si>
  <si>
    <t>b</t>
  </si>
  <si>
    <t>h</t>
  </si>
  <si>
    <t>d</t>
  </si>
  <si>
    <t>e</t>
  </si>
  <si>
    <t>f</t>
  </si>
  <si>
    <t>139.216.202.47:8888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</si>
</sst>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13" borderId="1" xfId="0" applyFont="1" applyFill="1" applyBorder="1" applyAlignment="1">
      <alignment horizontal="left" vertical="top"/>
    </xf>
    <xf numFmtId="0" fontId="1" fillId="13" borderId="0" xfId="0" applyFont="1" applyFill="1" applyAlignment="1">
      <alignment horizontal="left" vertical="top"/>
    </xf>
    <xf numFmtId="0" fontId="2" fillId="13" borderId="0" xfId="0" applyFont="1" applyFill="1"/>
    <xf numFmtId="0" fontId="1" fillId="0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14" borderId="0" xfId="0" applyFill="1"/>
    <xf numFmtId="0" fontId="0" fillId="13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NumberFormat="1"/>
    <xf numFmtId="0" fontId="0" fillId="0" borderId="0" xfId="0" applyFont="1"/>
    <xf numFmtId="0" fontId="0" fillId="0" borderId="1" xfId="0" applyNumberFormat="1" applyFont="1" applyBorder="1"/>
    <xf numFmtId="0" fontId="0" fillId="0" borderId="1" xfId="0" applyFont="1" applyBorder="1" applyAlignment="1">
      <alignment textRotation="90"/>
    </xf>
    <xf numFmtId="0" fontId="0" fillId="0" borderId="1" xfId="0" applyNumberFormat="1" applyBorder="1"/>
    <xf numFmtId="4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  <color rgb="FF996633"/>
      <color rgb="FF006600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154B-EB47-40FF-8AF5-D9703ED52C06}">
  <sheetPr codeName="Sheet1"/>
  <dimension ref="A1:M20"/>
  <sheetViews>
    <sheetView workbookViewId="0">
      <selection activeCell="D3" sqref="D3"/>
    </sheetView>
  </sheetViews>
  <sheetFormatPr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  <col min="9" max="9" width="28.85546875" customWidth="1"/>
    <col min="10" max="10" width="37.5703125" customWidth="1"/>
    <col min="11" max="11" width="15.5703125" customWidth="1"/>
    <col min="12" max="12" width="16.5703125" customWidth="1"/>
    <col min="13" max="13" width="32.42578125" customWidth="1"/>
  </cols>
  <sheetData>
    <row r="1" spans="1:13" x14ac:dyDescent="0.25">
      <c r="A1" t="s">
        <v>0</v>
      </c>
      <c r="B1" t="s">
        <v>1</v>
      </c>
      <c r="C1" t="s">
        <v>57</v>
      </c>
      <c r="D1" t="s">
        <v>56</v>
      </c>
      <c r="E1" t="s">
        <v>2</v>
      </c>
      <c r="F1" t="s">
        <v>3</v>
      </c>
      <c r="G1" t="s">
        <v>4</v>
      </c>
      <c r="H1" t="s">
        <v>5</v>
      </c>
      <c r="I1" t="s">
        <v>7</v>
      </c>
      <c r="J1" t="s">
        <v>106</v>
      </c>
      <c r="K1" t="s">
        <v>107</v>
      </c>
      <c r="L1" t="s">
        <v>108</v>
      </c>
      <c r="M1" t="s">
        <v>109</v>
      </c>
    </row>
    <row r="2" spans="1:13" x14ac:dyDescent="0.25">
      <c r="A2" s="22" t="s">
        <v>9</v>
      </c>
      <c r="B2">
        <v>11</v>
      </c>
      <c r="C2" s="1"/>
      <c r="D2" t="str">
        <f>getColor(C2,"rgb")</f>
        <v>112, 48, 160</v>
      </c>
      <c r="E2" t="s">
        <v>60</v>
      </c>
      <c r="F2">
        <v>1</v>
      </c>
      <c r="G2">
        <v>0</v>
      </c>
      <c r="H2">
        <v>0</v>
      </c>
    </row>
    <row r="3" spans="1:13" x14ac:dyDescent="0.25">
      <c r="A3" s="22" t="s">
        <v>11</v>
      </c>
      <c r="B3">
        <v>12</v>
      </c>
      <c r="C3" s="2"/>
      <c r="D3" t="str">
        <f t="shared" ref="D3:D20" si="0">getColor(C3,"rgb")</f>
        <v>255, 0, 0</v>
      </c>
      <c r="E3" t="s">
        <v>61</v>
      </c>
      <c r="F3">
        <v>1</v>
      </c>
      <c r="G3">
        <v>0</v>
      </c>
      <c r="H3">
        <v>1</v>
      </c>
      <c r="K3" t="s">
        <v>105</v>
      </c>
    </row>
    <row r="4" spans="1:13" x14ac:dyDescent="0.25">
      <c r="A4" s="22" t="s">
        <v>17</v>
      </c>
      <c r="B4">
        <v>13</v>
      </c>
      <c r="C4" s="5"/>
      <c r="D4" t="str">
        <f t="shared" si="0"/>
        <v>255, 192, 0</v>
      </c>
      <c r="E4" t="s">
        <v>63</v>
      </c>
      <c r="F4">
        <v>1</v>
      </c>
      <c r="G4">
        <v>0</v>
      </c>
      <c r="H4">
        <v>0</v>
      </c>
      <c r="I4" t="s">
        <v>10</v>
      </c>
    </row>
    <row r="5" spans="1:13" x14ac:dyDescent="0.25">
      <c r="A5" s="23" t="s">
        <v>13</v>
      </c>
      <c r="B5">
        <v>20</v>
      </c>
      <c r="C5" s="13"/>
      <c r="D5" t="str">
        <f t="shared" si="0"/>
        <v>0, 102, 0</v>
      </c>
      <c r="E5" t="s">
        <v>65</v>
      </c>
      <c r="F5">
        <v>1</v>
      </c>
      <c r="G5">
        <v>1</v>
      </c>
      <c r="H5">
        <v>1</v>
      </c>
    </row>
    <row r="6" spans="1:13" x14ac:dyDescent="0.25">
      <c r="A6" s="23" t="s">
        <v>14</v>
      </c>
      <c r="B6">
        <v>21</v>
      </c>
      <c r="C6" s="13"/>
      <c r="D6" t="str">
        <f t="shared" si="0"/>
        <v>0, 102, 0</v>
      </c>
      <c r="E6" t="s">
        <v>73</v>
      </c>
      <c r="F6">
        <v>1</v>
      </c>
      <c r="G6">
        <v>0</v>
      </c>
      <c r="H6">
        <v>0</v>
      </c>
    </row>
    <row r="7" spans="1:13" x14ac:dyDescent="0.25">
      <c r="A7" s="23" t="s">
        <v>144</v>
      </c>
      <c r="B7">
        <v>22</v>
      </c>
      <c r="C7" s="14"/>
      <c r="D7" t="str">
        <f t="shared" si="0"/>
        <v>255, 0, 255</v>
      </c>
      <c r="E7" t="s">
        <v>145</v>
      </c>
      <c r="F7">
        <v>1</v>
      </c>
      <c r="G7">
        <v>0</v>
      </c>
      <c r="H7">
        <v>0</v>
      </c>
    </row>
    <row r="8" spans="1:13" x14ac:dyDescent="0.25">
      <c r="A8" s="24" t="s">
        <v>15</v>
      </c>
      <c r="B8">
        <v>30</v>
      </c>
      <c r="C8" s="4"/>
      <c r="D8" t="str">
        <f t="shared" si="0"/>
        <v>0, 176, 80</v>
      </c>
      <c r="E8" t="s">
        <v>64</v>
      </c>
      <c r="F8">
        <v>1</v>
      </c>
      <c r="G8">
        <v>1</v>
      </c>
      <c r="H8">
        <v>1</v>
      </c>
    </row>
    <row r="9" spans="1:13" x14ac:dyDescent="0.25">
      <c r="A9" s="24" t="s">
        <v>112</v>
      </c>
      <c r="B9">
        <v>32</v>
      </c>
      <c r="C9" s="15"/>
      <c r="D9" t="str">
        <f t="shared" si="0"/>
        <v>153, 102, 51</v>
      </c>
      <c r="E9" t="s">
        <v>69</v>
      </c>
      <c r="F9">
        <v>1</v>
      </c>
      <c r="G9">
        <v>1</v>
      </c>
      <c r="H9">
        <v>0</v>
      </c>
      <c r="I9" t="s">
        <v>16</v>
      </c>
      <c r="J9" t="s">
        <v>105</v>
      </c>
    </row>
    <row r="10" spans="1:13" x14ac:dyDescent="0.25">
      <c r="A10" s="24" t="s">
        <v>132</v>
      </c>
      <c r="B10">
        <v>33</v>
      </c>
      <c r="C10" s="4"/>
      <c r="D10" t="str">
        <f t="shared" si="0"/>
        <v>0, 176, 80</v>
      </c>
      <c r="E10" t="s">
        <v>111</v>
      </c>
      <c r="F10">
        <v>1</v>
      </c>
      <c r="G10">
        <v>0</v>
      </c>
      <c r="H10">
        <v>1</v>
      </c>
    </row>
    <row r="11" spans="1:13" x14ac:dyDescent="0.25">
      <c r="A11" s="24" t="s">
        <v>18</v>
      </c>
      <c r="B11">
        <v>34</v>
      </c>
      <c r="C11" s="5"/>
      <c r="D11" t="str">
        <f t="shared" si="0"/>
        <v>255, 192, 0</v>
      </c>
      <c r="E11" t="s">
        <v>70</v>
      </c>
      <c r="F11">
        <v>1</v>
      </c>
      <c r="G11">
        <v>0</v>
      </c>
      <c r="H11">
        <v>0</v>
      </c>
      <c r="I11" t="s">
        <v>16</v>
      </c>
    </row>
    <row r="12" spans="1:13" x14ac:dyDescent="0.25">
      <c r="A12" s="7" t="s">
        <v>12</v>
      </c>
      <c r="B12">
        <v>41</v>
      </c>
      <c r="C12" s="3"/>
      <c r="D12" t="str">
        <f t="shared" si="0"/>
        <v>192, 0, 0</v>
      </c>
      <c r="E12" t="s">
        <v>68</v>
      </c>
      <c r="F12">
        <v>1</v>
      </c>
      <c r="G12">
        <v>0</v>
      </c>
      <c r="H12">
        <v>0</v>
      </c>
      <c r="J12" t="s">
        <v>105</v>
      </c>
    </row>
    <row r="13" spans="1:13" x14ac:dyDescent="0.25">
      <c r="A13" s="7" t="s">
        <v>115</v>
      </c>
      <c r="B13">
        <v>42</v>
      </c>
      <c r="C13" s="3"/>
      <c r="D13" t="str">
        <f t="shared" si="0"/>
        <v>192, 0, 0</v>
      </c>
      <c r="E13" t="s">
        <v>62</v>
      </c>
      <c r="F13">
        <v>1</v>
      </c>
      <c r="G13">
        <v>0</v>
      </c>
      <c r="H13">
        <v>1</v>
      </c>
    </row>
    <row r="14" spans="1:13" x14ac:dyDescent="0.25">
      <c r="A14" s="7" t="s">
        <v>113</v>
      </c>
      <c r="B14">
        <v>43</v>
      </c>
      <c r="C14" s="5"/>
      <c r="D14" t="str">
        <f t="shared" si="0"/>
        <v>255, 192, 0</v>
      </c>
      <c r="E14" t="s">
        <v>63</v>
      </c>
      <c r="F14">
        <v>1</v>
      </c>
      <c r="G14">
        <v>0</v>
      </c>
      <c r="H14">
        <v>0</v>
      </c>
      <c r="J14" t="s">
        <v>105</v>
      </c>
    </row>
    <row r="15" spans="1:13" x14ac:dyDescent="0.25">
      <c r="A15" t="s">
        <v>19</v>
      </c>
      <c r="B15">
        <v>50</v>
      </c>
      <c r="C15" s="6"/>
      <c r="D15" t="str">
        <f t="shared" si="0"/>
        <v>0, 32, 96</v>
      </c>
      <c r="E15" t="s">
        <v>74</v>
      </c>
      <c r="F15">
        <v>1</v>
      </c>
      <c r="G15">
        <v>0</v>
      </c>
      <c r="H15">
        <v>0</v>
      </c>
    </row>
    <row r="16" spans="1:13" x14ac:dyDescent="0.25">
      <c r="A16" s="25" t="s">
        <v>114</v>
      </c>
      <c r="B16">
        <v>180</v>
      </c>
      <c r="C16" s="7"/>
      <c r="D16" t="str">
        <f t="shared" si="0"/>
        <v>0, 176, 240</v>
      </c>
      <c r="E16" t="s">
        <v>67</v>
      </c>
      <c r="F16">
        <v>1</v>
      </c>
      <c r="G16">
        <v>0</v>
      </c>
      <c r="H16">
        <v>0</v>
      </c>
    </row>
    <row r="17" spans="1:8" x14ac:dyDescent="0.25">
      <c r="A17" s="25" t="s">
        <v>20</v>
      </c>
      <c r="B17">
        <v>181</v>
      </c>
      <c r="C17" s="7"/>
      <c r="D17" t="str">
        <f t="shared" si="0"/>
        <v>0, 176, 240</v>
      </c>
      <c r="E17" t="s">
        <v>67</v>
      </c>
      <c r="F17">
        <v>1</v>
      </c>
      <c r="G17">
        <v>0</v>
      </c>
      <c r="H17">
        <v>0</v>
      </c>
    </row>
    <row r="18" spans="1:8" x14ac:dyDescent="0.25">
      <c r="A18" s="25" t="s">
        <v>21</v>
      </c>
      <c r="B18">
        <v>182</v>
      </c>
      <c r="C18" s="7"/>
      <c r="D18" t="str">
        <f t="shared" si="0"/>
        <v>0, 176, 240</v>
      </c>
      <c r="E18" t="s">
        <v>71</v>
      </c>
      <c r="F18">
        <v>1</v>
      </c>
      <c r="G18">
        <v>0</v>
      </c>
      <c r="H18">
        <v>0</v>
      </c>
    </row>
    <row r="19" spans="1:8" x14ac:dyDescent="0.25">
      <c r="A19" s="26" t="s">
        <v>8</v>
      </c>
      <c r="B19">
        <v>190</v>
      </c>
      <c r="C19" s="21"/>
      <c r="D19" t="str">
        <f t="shared" si="0"/>
        <v>208, 206, 206</v>
      </c>
      <c r="E19" t="s">
        <v>66</v>
      </c>
      <c r="F19">
        <v>0</v>
      </c>
      <c r="G19">
        <v>0</v>
      </c>
      <c r="H19">
        <v>0</v>
      </c>
    </row>
    <row r="20" spans="1:8" x14ac:dyDescent="0.25">
      <c r="A20" t="s">
        <v>22</v>
      </c>
      <c r="B20">
        <v>200</v>
      </c>
      <c r="C20" s="8"/>
      <c r="D20" t="str">
        <f t="shared" si="0"/>
        <v>117, 113, 113</v>
      </c>
      <c r="E20" t="s">
        <v>72</v>
      </c>
      <c r="F20">
        <v>0</v>
      </c>
      <c r="G20">
        <v>0</v>
      </c>
      <c r="H20">
        <v>0</v>
      </c>
    </row>
  </sheetData>
  <autoFilter ref="A1:H20" xr:uid="{0686E7C0-1DF0-4382-A962-3C33A14CF798}">
    <sortState xmlns:xlrd2="http://schemas.microsoft.com/office/spreadsheetml/2017/richdata2" ref="A2:H20">
      <sortCondition ref="B1:B20"/>
    </sortState>
  </autoFilter>
  <sortState xmlns:xlrd2="http://schemas.microsoft.com/office/spreadsheetml/2017/richdata2" ref="A2:M20">
    <sortCondition ref="B6:B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F4C-5090-48A1-B087-7AEE3973ED1D}">
  <sheetPr codeName="Sheet3"/>
  <dimension ref="A1:I30"/>
  <sheetViews>
    <sheetView workbookViewId="0">
      <selection activeCell="E17" sqref="E17"/>
    </sheetView>
  </sheetViews>
  <sheetFormatPr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9" customFormat="1" ht="50.25" customHeight="1" x14ac:dyDescent="0.25">
      <c r="A1" s="9" t="s">
        <v>23</v>
      </c>
      <c r="B1" s="9" t="s">
        <v>55</v>
      </c>
      <c r="C1" s="9" t="s">
        <v>100</v>
      </c>
      <c r="D1" s="9" t="s">
        <v>126</v>
      </c>
      <c r="E1" s="9" t="s">
        <v>75</v>
      </c>
      <c r="F1" s="9" t="s">
        <v>24</v>
      </c>
      <c r="G1" s="9" t="s">
        <v>25</v>
      </c>
      <c r="H1" s="9" t="s">
        <v>59</v>
      </c>
      <c r="I1" s="9" t="s">
        <v>26</v>
      </c>
    </row>
    <row r="2" spans="1:9" x14ac:dyDescent="0.25">
      <c r="A2" s="10" t="s">
        <v>79</v>
      </c>
      <c r="B2" s="12" t="s">
        <v>120</v>
      </c>
      <c r="C2" s="12" t="str">
        <f>LOWER(IF(ISBLANK(B2),LOWER(SUBSTITUTE(SUBSTITUTE(SUBSTITUTE(A2,".",""),"-","_")," ","_")),B2))</f>
        <v>approved</v>
      </c>
      <c r="D2" s="12">
        <v>1</v>
      </c>
      <c r="E2" s="11"/>
      <c r="F2" s="11" t="s">
        <v>43</v>
      </c>
      <c r="G2" s="11" t="s">
        <v>58</v>
      </c>
      <c r="I2" t="b">
        <v>1</v>
      </c>
    </row>
    <row r="3" spans="1:9" x14ac:dyDescent="0.25">
      <c r="A3" s="10" t="s">
        <v>80</v>
      </c>
      <c r="B3" s="12" t="s">
        <v>121</v>
      </c>
      <c r="C3" s="12" t="str">
        <f>LOWER(IF(ISBLANK(B3),LOWER(SUBSTITUTE(SUBSTITUTE(SUBSTITUTE(A3,".",""),"-","_")," ","_")),B3))</f>
        <v>author</v>
      </c>
      <c r="D3" s="12">
        <v>1</v>
      </c>
      <c r="E3" s="12"/>
      <c r="F3" s="11" t="s">
        <v>43</v>
      </c>
      <c r="G3" s="11" t="s">
        <v>58</v>
      </c>
      <c r="I3" t="b">
        <v>1</v>
      </c>
    </row>
    <row r="4" spans="1:9" x14ac:dyDescent="0.25">
      <c r="A4" s="10" t="s">
        <v>94</v>
      </c>
      <c r="B4" s="11" t="s">
        <v>24</v>
      </c>
      <c r="C4" s="12" t="str">
        <f>LOWER(IF(ISBLANK(B4),LOWER(SUBSTITUTE(SUBSTITUTE(SUBSTITUTE(A4,".",""),"-","_")," ","_")),B4))</f>
        <v>category</v>
      </c>
      <c r="D4" s="12">
        <v>1</v>
      </c>
      <c r="E4" s="11"/>
      <c r="F4" s="11" t="s">
        <v>43</v>
      </c>
      <c r="G4" s="11" t="s">
        <v>58</v>
      </c>
      <c r="I4" t="b">
        <v>1</v>
      </c>
    </row>
    <row r="5" spans="1:9" x14ac:dyDescent="0.25">
      <c r="A5" s="10" t="s">
        <v>87</v>
      </c>
      <c r="B5" s="12" t="s">
        <v>40</v>
      </c>
      <c r="C5" s="12" t="s">
        <v>123</v>
      </c>
      <c r="D5" s="12">
        <v>1</v>
      </c>
      <c r="E5" s="11"/>
      <c r="F5" s="11" t="s">
        <v>27</v>
      </c>
      <c r="G5" s="11" t="s">
        <v>58</v>
      </c>
      <c r="I5" t="b">
        <v>1</v>
      </c>
    </row>
    <row r="6" spans="1:9" x14ac:dyDescent="0.25">
      <c r="A6" s="10" t="s">
        <v>93</v>
      </c>
      <c r="B6" s="11" t="s">
        <v>6</v>
      </c>
      <c r="C6" s="12" t="str">
        <f>LOWER(IF(ISBLANK(B6),LOWER(SUBSTITUTE(SUBSTITUTE(SUBSTITUTE(A6,".",""),"-","_")," ","_")),B6))</f>
        <v>datasheet</v>
      </c>
      <c r="D6" s="12">
        <v>1</v>
      </c>
      <c r="E6" s="11"/>
      <c r="F6" s="11" t="s">
        <v>27</v>
      </c>
      <c r="G6" s="11" t="s">
        <v>58</v>
      </c>
      <c r="I6" t="b">
        <v>1</v>
      </c>
    </row>
    <row r="7" spans="1:9" x14ac:dyDescent="0.25">
      <c r="A7" s="10" t="s">
        <v>81</v>
      </c>
      <c r="B7" s="11" t="s">
        <v>28</v>
      </c>
      <c r="C7" s="12" t="str">
        <f>LOWER(IF(ISBLANK(B7),LOWER(SUBSTITUTE(SUBSTITUTE(SUBSTITUTE(A7,".",""),"-","_")," ","_")),B7))</f>
        <v>description</v>
      </c>
      <c r="D7" s="12">
        <v>1</v>
      </c>
      <c r="E7" s="11"/>
      <c r="F7" s="11" t="s">
        <v>27</v>
      </c>
      <c r="G7" s="11" t="s">
        <v>58</v>
      </c>
      <c r="I7" t="str">
        <f>IF(A7=B7,"False","True")</f>
        <v>False</v>
      </c>
    </row>
    <row r="8" spans="1:9" x14ac:dyDescent="0.25">
      <c r="A8" s="10" t="s">
        <v>89</v>
      </c>
      <c r="B8" s="11" t="s">
        <v>45</v>
      </c>
      <c r="C8" s="12" t="str">
        <f>LOWER(IF(ISBLANK(B8),LOWER(SUBSTITUTE(SUBSTITUTE(SUBSTITUTE(A8,".",""),"-","_")," ","_")),B8))</f>
        <v>drawndate</v>
      </c>
      <c r="D8" s="12">
        <v>1</v>
      </c>
      <c r="E8" s="11"/>
      <c r="F8" s="11" t="s">
        <v>43</v>
      </c>
      <c r="G8" s="11" t="s">
        <v>58</v>
      </c>
      <c r="I8" t="str">
        <f>IF(A8=B8,"False","True")</f>
        <v>False</v>
      </c>
    </row>
    <row r="9" spans="1:9" x14ac:dyDescent="0.25">
      <c r="A9" s="10" t="s">
        <v>77</v>
      </c>
      <c r="B9" s="12" t="s">
        <v>41</v>
      </c>
      <c r="C9" s="12" t="s">
        <v>124</v>
      </c>
      <c r="D9" s="12">
        <v>1</v>
      </c>
      <c r="E9" s="11"/>
      <c r="F9" s="11" t="s">
        <v>27</v>
      </c>
      <c r="G9" s="11" t="s">
        <v>58</v>
      </c>
      <c r="I9" t="b">
        <v>1</v>
      </c>
    </row>
    <row r="10" spans="1:9" x14ac:dyDescent="0.25">
      <c r="A10" s="10" t="s">
        <v>83</v>
      </c>
      <c r="B10" s="11" t="s">
        <v>29</v>
      </c>
      <c r="C10" s="12" t="str">
        <f>LOWER(IF(ISBLANK(B10),LOWER(SUBSTITUTE(SUBSTITUTE(SUBSTITUTE(A10,".",""),"-","_")," ","_")),B10))</f>
        <v>finish</v>
      </c>
      <c r="D10" s="12">
        <v>1</v>
      </c>
      <c r="E10" s="11"/>
      <c r="F10" s="11" t="s">
        <v>27</v>
      </c>
      <c r="G10" s="11" t="s">
        <v>58</v>
      </c>
      <c r="H10" t="b">
        <v>1</v>
      </c>
      <c r="I10" t="str">
        <f>IF(A10=B10,"False","True")</f>
        <v>False</v>
      </c>
    </row>
    <row r="11" spans="1:9" x14ac:dyDescent="0.25">
      <c r="A11" s="10" t="s">
        <v>76</v>
      </c>
      <c r="B11" s="10" t="s">
        <v>42</v>
      </c>
      <c r="C11" s="12" t="s">
        <v>125</v>
      </c>
      <c r="D11" s="12">
        <v>1</v>
      </c>
      <c r="E11" s="11"/>
      <c r="F11" s="11" t="s">
        <v>27</v>
      </c>
      <c r="G11" s="11" t="s">
        <v>58</v>
      </c>
      <c r="I11" t="b">
        <v>1</v>
      </c>
    </row>
    <row r="12" spans="1:9" x14ac:dyDescent="0.25">
      <c r="A12" s="10" t="s">
        <v>99</v>
      </c>
      <c r="B12" s="10" t="s">
        <v>30</v>
      </c>
      <c r="C12" s="12" t="str">
        <f t="shared" ref="C12:C27" si="0">LOWER(IF(ISBLANK(B12),LOWER(SUBSTITUTE(SUBSTITUTE(SUBSTITUTE(A12,".",""),"-","_")," ","_")),B12))</f>
        <v>item_no</v>
      </c>
      <c r="D12" s="12">
        <v>0</v>
      </c>
      <c r="E12" s="11"/>
      <c r="F12" s="11" t="s">
        <v>27</v>
      </c>
      <c r="G12" s="11" t="s">
        <v>58</v>
      </c>
      <c r="I12" t="b">
        <v>1</v>
      </c>
    </row>
    <row r="13" spans="1:9" x14ac:dyDescent="0.25">
      <c r="A13" s="10" t="s">
        <v>91</v>
      </c>
      <c r="B13" s="10" t="s">
        <v>46</v>
      </c>
      <c r="C13" s="12" t="str">
        <f t="shared" si="0"/>
        <v>link</v>
      </c>
      <c r="D13" s="12">
        <v>1</v>
      </c>
      <c r="E13" s="11"/>
      <c r="F13" s="11" t="s">
        <v>43</v>
      </c>
      <c r="G13" s="11" t="s">
        <v>58</v>
      </c>
      <c r="I13" t="b">
        <v>1</v>
      </c>
    </row>
    <row r="14" spans="1:9" x14ac:dyDescent="0.25">
      <c r="A14" s="10" t="s">
        <v>31</v>
      </c>
      <c r="B14" s="11" t="s">
        <v>31</v>
      </c>
      <c r="C14" s="12" t="str">
        <f t="shared" si="0"/>
        <v>mass</v>
      </c>
      <c r="D14" s="12">
        <v>1</v>
      </c>
      <c r="E14" s="11"/>
      <c r="F14" s="11" t="s">
        <v>27</v>
      </c>
      <c r="G14" s="11" t="s">
        <v>32</v>
      </c>
      <c r="I14" t="str">
        <f>IF(A14=B14,"False","True")</f>
        <v>False</v>
      </c>
    </row>
    <row r="15" spans="1:9" x14ac:dyDescent="0.25">
      <c r="A15" s="10" t="s">
        <v>82</v>
      </c>
      <c r="B15" s="11" t="s">
        <v>33</v>
      </c>
      <c r="C15" s="12" t="str">
        <f t="shared" si="0"/>
        <v>material</v>
      </c>
      <c r="D15" s="12">
        <v>1</v>
      </c>
      <c r="E15" s="11"/>
      <c r="F15" s="11" t="s">
        <v>27</v>
      </c>
      <c r="G15" s="11" t="s">
        <v>58</v>
      </c>
      <c r="I15" t="str">
        <f>IF(A15=B15,"False","True")</f>
        <v>False</v>
      </c>
    </row>
    <row r="16" spans="1:9" x14ac:dyDescent="0.25">
      <c r="A16" s="16" t="s">
        <v>92</v>
      </c>
      <c r="B16" s="17" t="s">
        <v>47</v>
      </c>
      <c r="C16" s="12" t="str">
        <f t="shared" si="0"/>
        <v>oem</v>
      </c>
      <c r="D16" s="12">
        <v>1</v>
      </c>
      <c r="E16" s="11"/>
      <c r="F16" s="11" t="s">
        <v>43</v>
      </c>
      <c r="G16" s="11" t="s">
        <v>58</v>
      </c>
      <c r="I16" t="b">
        <v>1</v>
      </c>
    </row>
    <row r="17" spans="1:9" x14ac:dyDescent="0.25">
      <c r="A17" s="10" t="s">
        <v>78</v>
      </c>
      <c r="B17" s="11" t="s">
        <v>34</v>
      </c>
      <c r="C17" s="12" t="str">
        <f t="shared" si="0"/>
        <v>partnumber</v>
      </c>
      <c r="D17" s="12">
        <v>1</v>
      </c>
      <c r="E17" s="11"/>
      <c r="F17" s="11" t="s">
        <v>27</v>
      </c>
      <c r="G17" s="11" t="s">
        <v>58</v>
      </c>
      <c r="I17" t="b">
        <v>1</v>
      </c>
    </row>
    <row r="18" spans="1:9" x14ac:dyDescent="0.25">
      <c r="A18" s="10" t="s">
        <v>84</v>
      </c>
      <c r="B18" s="11" t="s">
        <v>0</v>
      </c>
      <c r="C18" s="12" t="str">
        <f t="shared" si="0"/>
        <v>process</v>
      </c>
      <c r="D18" s="12">
        <v>1</v>
      </c>
      <c r="E18" s="11"/>
      <c r="F18" s="11" t="s">
        <v>27</v>
      </c>
      <c r="G18" s="11" t="s">
        <v>58</v>
      </c>
      <c r="H18" t="b">
        <v>1</v>
      </c>
      <c r="I18" t="b">
        <v>1</v>
      </c>
    </row>
    <row r="19" spans="1:9" x14ac:dyDescent="0.25">
      <c r="A19" s="10" t="s">
        <v>85</v>
      </c>
      <c r="B19" s="12" t="s">
        <v>35</v>
      </c>
      <c r="C19" s="12" t="str">
        <f t="shared" si="0"/>
        <v>process2</v>
      </c>
      <c r="D19" s="12">
        <v>1</v>
      </c>
      <c r="E19" s="11"/>
      <c r="F19" s="11" t="s">
        <v>27</v>
      </c>
      <c r="G19" s="11" t="s">
        <v>58</v>
      </c>
      <c r="H19" t="b">
        <v>1</v>
      </c>
      <c r="I19" t="b">
        <v>1</v>
      </c>
    </row>
    <row r="20" spans="1:9" x14ac:dyDescent="0.25">
      <c r="A20" s="10" t="s">
        <v>86</v>
      </c>
      <c r="B20" s="12" t="s">
        <v>36</v>
      </c>
      <c r="C20" s="12" t="str">
        <f t="shared" si="0"/>
        <v>process3</v>
      </c>
      <c r="D20" s="12">
        <v>1</v>
      </c>
      <c r="E20" s="11"/>
      <c r="F20" s="11" t="s">
        <v>27</v>
      </c>
      <c r="G20" s="11" t="s">
        <v>58</v>
      </c>
      <c r="H20" t="b">
        <v>1</v>
      </c>
      <c r="I20" t="b">
        <v>1</v>
      </c>
    </row>
    <row r="21" spans="1:9" x14ac:dyDescent="0.25">
      <c r="A21" s="10" t="s">
        <v>90</v>
      </c>
      <c r="B21" s="11" t="s">
        <v>37</v>
      </c>
      <c r="C21" s="12" t="str">
        <f t="shared" si="0"/>
        <v>qty</v>
      </c>
      <c r="D21" s="12">
        <v>0</v>
      </c>
      <c r="E21" s="11"/>
      <c r="F21" s="11" t="s">
        <v>27</v>
      </c>
      <c r="G21" s="11" t="s">
        <v>38</v>
      </c>
      <c r="I21" t="str">
        <f>IF(A21=B21,"False","True")</f>
        <v>False</v>
      </c>
    </row>
    <row r="22" spans="1:9" x14ac:dyDescent="0.25">
      <c r="A22" s="10" t="s">
        <v>39</v>
      </c>
      <c r="B22" s="12" t="s">
        <v>39</v>
      </c>
      <c r="C22" s="12" t="str">
        <f t="shared" si="0"/>
        <v>revision</v>
      </c>
      <c r="D22" s="12">
        <v>1</v>
      </c>
      <c r="E22" s="12"/>
      <c r="F22" s="11" t="s">
        <v>27</v>
      </c>
      <c r="G22" s="11" t="s">
        <v>58</v>
      </c>
      <c r="I22" t="str">
        <f>IF(A22=B22,"False","True")</f>
        <v>False</v>
      </c>
    </row>
    <row r="23" spans="1:9" x14ac:dyDescent="0.25">
      <c r="A23" s="10" t="s">
        <v>96</v>
      </c>
      <c r="B23" s="12" t="s">
        <v>48</v>
      </c>
      <c r="C23" s="12" t="str">
        <f t="shared" si="0"/>
        <v>spare_part</v>
      </c>
      <c r="D23" s="12">
        <v>1</v>
      </c>
      <c r="E23" s="12"/>
      <c r="F23" s="11" t="s">
        <v>43</v>
      </c>
      <c r="G23" s="11" t="s">
        <v>49</v>
      </c>
      <c r="I23" t="str">
        <f>IF(A23=B23,"False","True")</f>
        <v>False</v>
      </c>
    </row>
    <row r="24" spans="1:9" x14ac:dyDescent="0.25">
      <c r="A24" s="10" t="s">
        <v>88</v>
      </c>
      <c r="B24" s="11" t="s">
        <v>44</v>
      </c>
      <c r="C24" s="12" t="str">
        <f t="shared" si="0"/>
        <v>supplier</v>
      </c>
      <c r="D24" s="12">
        <v>1</v>
      </c>
      <c r="E24" s="11"/>
      <c r="F24" s="11" t="s">
        <v>43</v>
      </c>
      <c r="G24" s="11" t="s">
        <v>58</v>
      </c>
      <c r="I24" t="b">
        <v>1</v>
      </c>
    </row>
    <row r="25" spans="1:9" x14ac:dyDescent="0.25">
      <c r="A25" s="16" t="s">
        <v>97</v>
      </c>
      <c r="B25" s="17" t="s">
        <v>50</v>
      </c>
      <c r="C25" s="12" t="str">
        <f t="shared" si="0"/>
        <v>supplier_partnumber</v>
      </c>
      <c r="D25" s="12">
        <v>1</v>
      </c>
      <c r="E25" s="11"/>
      <c r="F25" s="11" t="s">
        <v>27</v>
      </c>
      <c r="G25" s="11" t="s">
        <v>58</v>
      </c>
      <c r="I25" t="b">
        <v>1</v>
      </c>
    </row>
    <row r="26" spans="1:9" x14ac:dyDescent="0.25">
      <c r="A26" s="10" t="s">
        <v>95</v>
      </c>
      <c r="B26" s="10" t="s">
        <v>16</v>
      </c>
      <c r="C26" s="12" t="str">
        <f t="shared" si="0"/>
        <v>thickness</v>
      </c>
      <c r="D26" s="12">
        <v>1</v>
      </c>
      <c r="E26" s="11"/>
      <c r="F26" s="11" t="s">
        <v>27</v>
      </c>
      <c r="G26" s="11" t="s">
        <v>32</v>
      </c>
      <c r="I26" t="b">
        <v>1</v>
      </c>
    </row>
    <row r="27" spans="1:9" x14ac:dyDescent="0.25">
      <c r="A27" s="10" t="s">
        <v>98</v>
      </c>
      <c r="B27" s="12" t="s">
        <v>122</v>
      </c>
      <c r="C27" s="12" t="str">
        <f t="shared" si="0"/>
        <v>treatment</v>
      </c>
      <c r="D27" s="12">
        <v>1</v>
      </c>
      <c r="E27" s="11"/>
      <c r="F27" s="11" t="s">
        <v>43</v>
      </c>
      <c r="G27" s="11" t="s">
        <v>58</v>
      </c>
      <c r="H27" t="b">
        <v>1</v>
      </c>
      <c r="I27" t="b">
        <v>1</v>
      </c>
    </row>
    <row r="28" spans="1:9" x14ac:dyDescent="0.25">
      <c r="A28" s="10" t="s">
        <v>128</v>
      </c>
      <c r="B28" s="12" t="s">
        <v>129</v>
      </c>
      <c r="C28" s="12" t="str">
        <f t="shared" ref="C28" si="1">LOWER(IF(ISBLANK(B28),LOWER(SUBSTITUTE(SUBSTITUTE(SUBSTITUTE(A28,".",""),"-","_")," ","_")),B28))</f>
        <v>colour</v>
      </c>
      <c r="D28" s="12">
        <v>1</v>
      </c>
      <c r="E28" s="11"/>
      <c r="F28" s="11" t="s">
        <v>43</v>
      </c>
      <c r="G28" s="11" t="s">
        <v>58</v>
      </c>
      <c r="H28" t="b">
        <v>1</v>
      </c>
      <c r="I28" t="b">
        <v>1</v>
      </c>
    </row>
    <row r="29" spans="1:9" x14ac:dyDescent="0.25">
      <c r="A29" s="10" t="s">
        <v>131</v>
      </c>
      <c r="B29" s="11" t="s">
        <v>130</v>
      </c>
      <c r="C29" s="12" t="str">
        <f>LOWER(IF(ISBLANK(B29),LOWER(SUBSTITUTE(SUBSTITUTE(SUBSTITUTE(A29,".",""),"-","_")," ","_")),B29))</f>
        <v>notes</v>
      </c>
      <c r="D29" s="12">
        <v>1</v>
      </c>
      <c r="E29" s="11"/>
      <c r="F29" s="11" t="s">
        <v>27</v>
      </c>
      <c r="G29" s="11" t="s">
        <v>58</v>
      </c>
      <c r="I29" t="str">
        <f>IF(A29=B29,"False","True")</f>
        <v>True</v>
      </c>
    </row>
    <row r="30" spans="1:9" x14ac:dyDescent="0.25">
      <c r="A30" s="19" t="s">
        <v>139</v>
      </c>
      <c r="B30" s="20" t="s">
        <v>140</v>
      </c>
      <c r="C30" s="20" t="str">
        <f>LOWER(IF(ISBLANK(B30),LOWER(SUBSTITUTE(SUBSTITUTE(SUBSTITUTE(A30,".",""),"-","_")," ","_")),B30))</f>
        <v>asset</v>
      </c>
      <c r="D30" s="12">
        <v>1</v>
      </c>
      <c r="E30" s="11"/>
      <c r="F30" s="11" t="s">
        <v>27</v>
      </c>
      <c r="G30" s="11" t="s">
        <v>58</v>
      </c>
      <c r="I30" t="str">
        <f>IF(A30=B30,"False","True")</f>
        <v>False</v>
      </c>
    </row>
  </sheetData>
  <autoFilter ref="A1:I28" xr:uid="{3D0A8146-2DD8-40F6-8216-DFC614816FE7}">
    <sortState xmlns:xlrd2="http://schemas.microsoft.com/office/spreadsheetml/2017/richdata2" ref="A2:I27">
      <sortCondition ref="C1:C28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2478-57D7-43D9-AA6F-230CB2090D6E}">
  <sheetPr codeName="Sheet2"/>
  <dimension ref="A1:AD20"/>
  <sheetViews>
    <sheetView zoomScale="130" zoomScaleNormal="130" workbookViewId="0">
      <selection activeCell="AC2" sqref="AC2"/>
    </sheetView>
  </sheetViews>
  <sheetFormatPr defaultColWidth="4.85546875" defaultRowHeight="15" x14ac:dyDescent="0.25"/>
  <cols>
    <col min="1" max="1" width="19" style="27" customWidth="1"/>
  </cols>
  <sheetData>
    <row r="1" spans="1:30" s="28" customFormat="1" ht="78.75" customHeight="1" x14ac:dyDescent="0.25">
      <c r="A1" s="29" t="str" cm="1">
        <f t="array" ref="A1:A20">process!$A$1:A20</f>
        <v>process</v>
      </c>
      <c r="B1" s="30" t="str" cm="1">
        <f t="array" ref="B1:AD1">TRANSPOSE(property!$C$2:C30)</f>
        <v>approved</v>
      </c>
      <c r="C1" s="30" t="str">
        <v>author</v>
      </c>
      <c r="D1" s="30" t="str">
        <v>category</v>
      </c>
      <c r="E1" s="30" t="str">
        <v>configuration</v>
      </c>
      <c r="F1" s="30" t="str">
        <v>datasheet</v>
      </c>
      <c r="G1" s="30" t="str">
        <v>description</v>
      </c>
      <c r="H1" s="30" t="str">
        <v>drawndate</v>
      </c>
      <c r="I1" s="30" t="str">
        <v>file</v>
      </c>
      <c r="J1" s="30" t="str">
        <v>finish</v>
      </c>
      <c r="K1" s="30" t="str">
        <v>folder</v>
      </c>
      <c r="L1" s="30" t="str">
        <v>item_no</v>
      </c>
      <c r="M1" s="30" t="str">
        <v>link</v>
      </c>
      <c r="N1" s="30" t="str">
        <v>mass</v>
      </c>
      <c r="O1" s="30" t="str">
        <v>material</v>
      </c>
      <c r="P1" s="30" t="str">
        <v>oem</v>
      </c>
      <c r="Q1" s="30" t="str">
        <v>partnumber</v>
      </c>
      <c r="R1" s="30" t="str">
        <v>process</v>
      </c>
      <c r="S1" s="30" t="str">
        <v>process2</v>
      </c>
      <c r="T1" s="30" t="str">
        <v>process3</v>
      </c>
      <c r="U1" s="30" t="str">
        <v>qty</v>
      </c>
      <c r="V1" s="30" t="str">
        <v>revision</v>
      </c>
      <c r="W1" s="30" t="str">
        <v>spare_part</v>
      </c>
      <c r="X1" s="30" t="str">
        <v>supplier</v>
      </c>
      <c r="Y1" s="30" t="str">
        <v>supplier_partnumber</v>
      </c>
      <c r="Z1" s="30" t="str">
        <v>thickness</v>
      </c>
      <c r="AA1" s="30" t="str">
        <v>treatment</v>
      </c>
      <c r="AB1" s="30" t="str">
        <v>colour</v>
      </c>
      <c r="AC1" s="30" t="str">
        <v>notes</v>
      </c>
      <c r="AD1" s="30" t="str">
        <v>asset</v>
      </c>
    </row>
    <row r="2" spans="1:30" x14ac:dyDescent="0.25">
      <c r="A2" s="31" t="str">
        <v>purchase</v>
      </c>
      <c r="B2" s="32"/>
      <c r="C2" s="32"/>
      <c r="D2" s="32" t="s">
        <v>157</v>
      </c>
      <c r="E2" s="32"/>
      <c r="F2" s="32" t="s">
        <v>158</v>
      </c>
      <c r="G2" s="32" t="s">
        <v>150</v>
      </c>
      <c r="H2" s="32"/>
      <c r="I2" s="32"/>
      <c r="J2" s="32"/>
      <c r="K2" s="32"/>
      <c r="L2" s="32"/>
      <c r="M2" s="32" t="s">
        <v>159</v>
      </c>
      <c r="N2" s="32"/>
      <c r="O2" s="32" t="s">
        <v>154</v>
      </c>
      <c r="P2" s="32" t="s">
        <v>153</v>
      </c>
      <c r="Q2" s="32" t="s">
        <v>147</v>
      </c>
      <c r="R2" s="32"/>
      <c r="S2" s="32"/>
      <c r="T2" s="32"/>
      <c r="U2" s="32" t="s">
        <v>151</v>
      </c>
      <c r="V2" s="32" t="s">
        <v>149</v>
      </c>
      <c r="W2" s="32"/>
      <c r="X2" s="32" t="s">
        <v>152</v>
      </c>
      <c r="Y2" s="32" t="s">
        <v>155</v>
      </c>
      <c r="Z2" s="32"/>
      <c r="AA2" s="32"/>
      <c r="AB2" s="32"/>
      <c r="AC2" s="32" t="s">
        <v>156</v>
      </c>
      <c r="AD2" s="32"/>
    </row>
    <row r="3" spans="1:30" x14ac:dyDescent="0.25">
      <c r="A3" s="31" t="str">
        <v>machine</v>
      </c>
      <c r="B3" s="32" t="s">
        <v>148</v>
      </c>
      <c r="C3" s="32"/>
      <c r="D3" s="32"/>
      <c r="E3" s="32" t="s">
        <v>148</v>
      </c>
      <c r="F3" s="32"/>
      <c r="G3" s="32" t="s">
        <v>150</v>
      </c>
      <c r="H3" s="32" t="s">
        <v>148</v>
      </c>
      <c r="I3" s="32"/>
      <c r="J3" s="32" t="s">
        <v>148</v>
      </c>
      <c r="K3" s="32"/>
      <c r="L3" s="32"/>
      <c r="M3" s="32"/>
      <c r="N3" s="32" t="s">
        <v>148</v>
      </c>
      <c r="O3" s="32" t="s">
        <v>148</v>
      </c>
      <c r="P3" s="32"/>
      <c r="Q3" s="32" t="s">
        <v>147</v>
      </c>
      <c r="R3" s="32"/>
      <c r="S3" s="32"/>
      <c r="T3" s="32"/>
      <c r="U3" s="32" t="s">
        <v>151</v>
      </c>
      <c r="V3" s="32" t="s">
        <v>149</v>
      </c>
      <c r="W3" s="32"/>
      <c r="X3" s="32"/>
      <c r="Y3" s="32"/>
      <c r="Z3" s="32"/>
      <c r="AA3" s="32" t="s">
        <v>148</v>
      </c>
      <c r="AB3" s="32"/>
      <c r="AC3" s="32" t="s">
        <v>148</v>
      </c>
      <c r="AD3" s="32"/>
    </row>
    <row r="4" spans="1:30" x14ac:dyDescent="0.25">
      <c r="A4" s="31" t="str">
        <v>welding</v>
      </c>
      <c r="B4" s="32" t="s">
        <v>148</v>
      </c>
      <c r="C4" s="32"/>
      <c r="D4" s="32"/>
      <c r="E4" s="32" t="s">
        <v>148</v>
      </c>
      <c r="F4" s="32"/>
      <c r="G4" s="32" t="s">
        <v>150</v>
      </c>
      <c r="H4" s="32" t="s">
        <v>148</v>
      </c>
      <c r="I4" s="32"/>
      <c r="J4" s="32" t="s">
        <v>148</v>
      </c>
      <c r="K4" s="32"/>
      <c r="L4" s="32"/>
      <c r="M4" s="32"/>
      <c r="N4" s="32" t="s">
        <v>148</v>
      </c>
      <c r="O4" s="32"/>
      <c r="P4" s="32"/>
      <c r="Q4" s="32" t="s">
        <v>147</v>
      </c>
      <c r="R4" s="32"/>
      <c r="S4" s="32"/>
      <c r="T4" s="32"/>
      <c r="U4" s="32" t="s">
        <v>151</v>
      </c>
      <c r="V4" s="32" t="s">
        <v>149</v>
      </c>
      <c r="W4" s="32"/>
      <c r="X4" s="32"/>
      <c r="Y4" s="32"/>
      <c r="Z4" s="32"/>
      <c r="AA4" s="32" t="s">
        <v>148</v>
      </c>
      <c r="AB4" s="32"/>
      <c r="AC4" s="32" t="s">
        <v>148</v>
      </c>
      <c r="AD4" s="32"/>
    </row>
    <row r="5" spans="1:30" x14ac:dyDescent="0.25">
      <c r="A5" s="31" t="str">
        <v>folding</v>
      </c>
      <c r="B5" s="32" t="s">
        <v>148</v>
      </c>
      <c r="C5" s="32"/>
      <c r="D5" s="32"/>
      <c r="E5" s="32"/>
      <c r="F5" s="32"/>
      <c r="G5" s="32" t="s">
        <v>150</v>
      </c>
      <c r="H5" s="32" t="s">
        <v>148</v>
      </c>
      <c r="I5" s="32"/>
      <c r="J5" s="32" t="s">
        <v>148</v>
      </c>
      <c r="K5" s="32"/>
      <c r="L5" s="32"/>
      <c r="M5" s="32"/>
      <c r="N5" s="32" t="s">
        <v>148</v>
      </c>
      <c r="O5" s="32" t="s">
        <v>148</v>
      </c>
      <c r="P5" s="32"/>
      <c r="Q5" s="32" t="s">
        <v>147</v>
      </c>
      <c r="R5" s="32"/>
      <c r="S5" s="32"/>
      <c r="T5" s="32"/>
      <c r="U5" s="32" t="s">
        <v>151</v>
      </c>
      <c r="V5" s="32" t="s">
        <v>149</v>
      </c>
      <c r="W5" s="32"/>
      <c r="X5" s="32"/>
      <c r="Y5" s="32"/>
      <c r="Z5" s="32" t="s">
        <v>148</v>
      </c>
      <c r="AA5" s="32"/>
      <c r="AB5" s="32"/>
      <c r="AC5" s="32"/>
      <c r="AD5" s="32"/>
    </row>
    <row r="6" spans="1:30" x14ac:dyDescent="0.25">
      <c r="A6" s="31" t="str">
        <v>rolling</v>
      </c>
      <c r="B6" s="32" t="s">
        <v>148</v>
      </c>
      <c r="C6" s="32"/>
      <c r="D6" s="32"/>
      <c r="E6" s="32"/>
      <c r="F6" s="32"/>
      <c r="G6" s="32" t="s">
        <v>150</v>
      </c>
      <c r="H6" s="32" t="s">
        <v>148</v>
      </c>
      <c r="I6" s="32"/>
      <c r="J6" s="32" t="s">
        <v>148</v>
      </c>
      <c r="K6" s="32"/>
      <c r="L6" s="32"/>
      <c r="M6" s="32"/>
      <c r="N6" s="32" t="s">
        <v>148</v>
      </c>
      <c r="O6" s="32" t="s">
        <v>148</v>
      </c>
      <c r="P6" s="32"/>
      <c r="Q6" s="32" t="s">
        <v>147</v>
      </c>
      <c r="R6" s="32"/>
      <c r="S6" s="32"/>
      <c r="T6" s="32"/>
      <c r="U6" s="32" t="s">
        <v>151</v>
      </c>
      <c r="V6" s="32" t="s">
        <v>149</v>
      </c>
      <c r="W6" s="32"/>
      <c r="X6" s="32"/>
      <c r="Y6" s="32"/>
      <c r="Z6" s="32" t="s">
        <v>148</v>
      </c>
      <c r="AA6" s="32"/>
      <c r="AB6" s="32"/>
      <c r="AC6" s="32"/>
      <c r="AD6" s="32"/>
    </row>
    <row r="7" spans="1:30" x14ac:dyDescent="0.25">
      <c r="A7" s="31" t="str">
        <v>casting</v>
      </c>
      <c r="B7" s="32" t="s">
        <v>148</v>
      </c>
      <c r="C7" s="32"/>
      <c r="D7" s="32"/>
      <c r="E7" s="32"/>
      <c r="F7" s="32"/>
      <c r="G7" s="32" t="s">
        <v>150</v>
      </c>
      <c r="H7" s="32" t="s">
        <v>148</v>
      </c>
      <c r="I7" s="32"/>
      <c r="J7" s="32" t="s">
        <v>148</v>
      </c>
      <c r="K7" s="32"/>
      <c r="L7" s="32"/>
      <c r="M7" s="32"/>
      <c r="N7" s="32" t="s">
        <v>148</v>
      </c>
      <c r="O7" s="32" t="s">
        <v>148</v>
      </c>
      <c r="P7" s="32"/>
      <c r="Q7" s="32" t="s">
        <v>147</v>
      </c>
      <c r="R7" s="32"/>
      <c r="S7" s="32"/>
      <c r="T7" s="32"/>
      <c r="U7" s="32" t="s">
        <v>151</v>
      </c>
      <c r="V7" s="32" t="s">
        <v>149</v>
      </c>
      <c r="W7" s="32"/>
      <c r="X7" s="32"/>
      <c r="Y7" s="32"/>
      <c r="Z7" s="32"/>
      <c r="AA7" s="32" t="s">
        <v>148</v>
      </c>
      <c r="AB7" s="32"/>
      <c r="AC7" s="32"/>
      <c r="AD7" s="32"/>
    </row>
    <row r="8" spans="1:30" x14ac:dyDescent="0.25">
      <c r="A8" s="31" t="str">
        <v>lasercut</v>
      </c>
      <c r="B8" s="32" t="s">
        <v>148</v>
      </c>
      <c r="C8" s="32"/>
      <c r="D8" s="32"/>
      <c r="E8" s="32"/>
      <c r="F8" s="32"/>
      <c r="G8" s="32" t="s">
        <v>150</v>
      </c>
      <c r="H8" s="32" t="s">
        <v>148</v>
      </c>
      <c r="I8" s="32"/>
      <c r="J8" s="32" t="s">
        <v>148</v>
      </c>
      <c r="K8" s="32"/>
      <c r="L8" s="32"/>
      <c r="M8" s="32"/>
      <c r="N8" s="32" t="s">
        <v>148</v>
      </c>
      <c r="O8" s="32" t="s">
        <v>148</v>
      </c>
      <c r="P8" s="32"/>
      <c r="Q8" s="32" t="s">
        <v>147</v>
      </c>
      <c r="R8" s="32"/>
      <c r="S8" s="32"/>
      <c r="T8" s="32"/>
      <c r="U8" s="32" t="s">
        <v>151</v>
      </c>
      <c r="V8" s="32" t="s">
        <v>149</v>
      </c>
      <c r="W8" s="32"/>
      <c r="X8" s="32"/>
      <c r="Y8" s="32"/>
      <c r="Z8" s="32" t="s">
        <v>148</v>
      </c>
      <c r="AA8" s="32"/>
      <c r="AB8" s="32"/>
      <c r="AC8" s="32"/>
      <c r="AD8" s="32"/>
    </row>
    <row r="9" spans="1:30" x14ac:dyDescent="0.25">
      <c r="A9" s="31" t="str">
        <v>profile cut</v>
      </c>
      <c r="B9" s="32" t="s">
        <v>148</v>
      </c>
      <c r="C9" s="32"/>
      <c r="D9" s="32"/>
      <c r="E9" s="32"/>
      <c r="F9" s="32"/>
      <c r="G9" s="32" t="s">
        <v>150</v>
      </c>
      <c r="H9" s="32" t="s">
        <v>148</v>
      </c>
      <c r="I9" s="32"/>
      <c r="J9" s="32" t="s">
        <v>148</v>
      </c>
      <c r="K9" s="32"/>
      <c r="L9" s="32"/>
      <c r="M9" s="32"/>
      <c r="N9" s="32" t="s">
        <v>148</v>
      </c>
      <c r="O9" s="32" t="s">
        <v>148</v>
      </c>
      <c r="P9" s="32"/>
      <c r="Q9" s="32" t="s">
        <v>147</v>
      </c>
      <c r="R9" s="32"/>
      <c r="S9" s="32"/>
      <c r="T9" s="32"/>
      <c r="U9" s="32" t="s">
        <v>151</v>
      </c>
      <c r="V9" s="32" t="s">
        <v>149</v>
      </c>
      <c r="W9" s="32"/>
      <c r="X9" s="32"/>
      <c r="Y9" s="32"/>
      <c r="Z9" s="32" t="s">
        <v>148</v>
      </c>
      <c r="AA9" s="32"/>
      <c r="AB9" s="32"/>
      <c r="AC9" s="32"/>
      <c r="AD9" s="32"/>
    </row>
    <row r="10" spans="1:30" x14ac:dyDescent="0.25">
      <c r="A10" s="31" t="str">
        <v>3d laser</v>
      </c>
      <c r="B10" s="32" t="s">
        <v>148</v>
      </c>
      <c r="C10" s="32"/>
      <c r="D10" s="32"/>
      <c r="E10" s="32"/>
      <c r="F10" s="32"/>
      <c r="G10" s="32" t="s">
        <v>150</v>
      </c>
      <c r="H10" s="32" t="s">
        <v>148</v>
      </c>
      <c r="I10" s="32"/>
      <c r="J10" s="32" t="s">
        <v>148</v>
      </c>
      <c r="K10" s="32"/>
      <c r="L10" s="32"/>
      <c r="M10" s="32"/>
      <c r="N10" s="32" t="s">
        <v>148</v>
      </c>
      <c r="O10" s="32" t="s">
        <v>148</v>
      </c>
      <c r="P10" s="32"/>
      <c r="Q10" s="32" t="s">
        <v>147</v>
      </c>
      <c r="R10" s="32"/>
      <c r="S10" s="32"/>
      <c r="T10" s="32"/>
      <c r="U10" s="32" t="s">
        <v>151</v>
      </c>
      <c r="V10" s="32" t="s">
        <v>149</v>
      </c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A11" s="31" t="str">
        <v>cutting</v>
      </c>
      <c r="B11" s="32" t="s">
        <v>148</v>
      </c>
      <c r="C11" s="32"/>
      <c r="D11" s="32"/>
      <c r="E11" s="32"/>
      <c r="F11" s="32"/>
      <c r="G11" s="32" t="s">
        <v>150</v>
      </c>
      <c r="H11" s="32" t="s">
        <v>148</v>
      </c>
      <c r="I11" s="32"/>
      <c r="J11" s="32" t="s">
        <v>148</v>
      </c>
      <c r="K11" s="32"/>
      <c r="L11" s="32"/>
      <c r="M11" s="32"/>
      <c r="N11" s="32" t="s">
        <v>148</v>
      </c>
      <c r="O11" s="32" t="s">
        <v>148</v>
      </c>
      <c r="P11" s="32"/>
      <c r="Q11" s="32" t="s">
        <v>147</v>
      </c>
      <c r="R11" s="32"/>
      <c r="S11" s="32"/>
      <c r="T11" s="32"/>
      <c r="U11" s="32" t="s">
        <v>151</v>
      </c>
      <c r="V11" s="32" t="s">
        <v>149</v>
      </c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A12" s="31" t="str">
        <v>sewing</v>
      </c>
      <c r="B12" s="32" t="s">
        <v>148</v>
      </c>
      <c r="C12" s="32"/>
      <c r="D12" s="32"/>
      <c r="E12" s="32"/>
      <c r="F12" s="32"/>
      <c r="G12" s="32" t="s">
        <v>150</v>
      </c>
      <c r="H12" s="32" t="s">
        <v>148</v>
      </c>
      <c r="I12" s="32"/>
      <c r="J12" s="32" t="s">
        <v>148</v>
      </c>
      <c r="K12" s="32"/>
      <c r="L12" s="32"/>
      <c r="M12" s="32"/>
      <c r="N12" s="32" t="s">
        <v>148</v>
      </c>
      <c r="O12" s="32" t="s">
        <v>148</v>
      </c>
      <c r="P12" s="32"/>
      <c r="Q12" s="32" t="s">
        <v>147</v>
      </c>
      <c r="R12" s="32"/>
      <c r="S12" s="32"/>
      <c r="T12" s="32"/>
      <c r="U12" s="32" t="s">
        <v>151</v>
      </c>
      <c r="V12" s="32" t="s">
        <v>149</v>
      </c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A13" s="31" t="str">
        <v>3d print</v>
      </c>
      <c r="B13" s="32" t="s">
        <v>148</v>
      </c>
      <c r="C13" s="32"/>
      <c r="D13" s="32"/>
      <c r="E13" s="32"/>
      <c r="F13" s="32"/>
      <c r="G13" s="32" t="s">
        <v>150</v>
      </c>
      <c r="H13" s="32" t="s">
        <v>148</v>
      </c>
      <c r="I13" s="32"/>
      <c r="J13" s="32" t="s">
        <v>148</v>
      </c>
      <c r="K13" s="32"/>
      <c r="L13" s="32"/>
      <c r="M13" s="32"/>
      <c r="N13" s="32" t="s">
        <v>148</v>
      </c>
      <c r="O13" s="32" t="s">
        <v>148</v>
      </c>
      <c r="P13" s="32"/>
      <c r="Q13" s="32" t="s">
        <v>147</v>
      </c>
      <c r="R13" s="32"/>
      <c r="S13" s="32"/>
      <c r="T13" s="32"/>
      <c r="U13" s="32" t="s">
        <v>151</v>
      </c>
      <c r="V13" s="32" t="s">
        <v>149</v>
      </c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A14" s="31" t="str">
        <v>stud welding</v>
      </c>
      <c r="B14" s="32" t="s">
        <v>148</v>
      </c>
      <c r="C14" s="32"/>
      <c r="D14" s="32"/>
      <c r="E14" s="32"/>
      <c r="F14" s="32"/>
      <c r="G14" s="32" t="s">
        <v>150</v>
      </c>
      <c r="H14" s="32" t="s">
        <v>148</v>
      </c>
      <c r="I14" s="32"/>
      <c r="J14" s="32" t="s">
        <v>148</v>
      </c>
      <c r="K14" s="32"/>
      <c r="L14" s="32"/>
      <c r="M14" s="32"/>
      <c r="N14" s="32" t="s">
        <v>148</v>
      </c>
      <c r="O14" s="32" t="s">
        <v>148</v>
      </c>
      <c r="P14" s="32"/>
      <c r="Q14" s="32" t="s">
        <v>147</v>
      </c>
      <c r="R14" s="32"/>
      <c r="S14" s="32"/>
      <c r="T14" s="32"/>
      <c r="U14" s="32" t="s">
        <v>151</v>
      </c>
      <c r="V14" s="32" t="s">
        <v>149</v>
      </c>
      <c r="W14" s="32"/>
      <c r="X14" s="32"/>
      <c r="Y14" s="32"/>
      <c r="Z14" s="32"/>
      <c r="AA14" s="32"/>
      <c r="AB14" s="32"/>
      <c r="AC14" s="32"/>
      <c r="AD14" s="32"/>
    </row>
    <row r="15" spans="1:30" x14ac:dyDescent="0.25">
      <c r="A15" s="31" t="str">
        <v>paint</v>
      </c>
      <c r="B15" s="32" t="s">
        <v>148</v>
      </c>
      <c r="C15" s="32"/>
      <c r="D15" s="32"/>
      <c r="E15" s="32"/>
      <c r="F15" s="32"/>
      <c r="G15" s="32" t="s">
        <v>150</v>
      </c>
      <c r="H15" s="32" t="s">
        <v>148</v>
      </c>
      <c r="I15" s="32"/>
      <c r="J15" s="32" t="s">
        <v>148</v>
      </c>
      <c r="K15" s="32"/>
      <c r="L15" s="32"/>
      <c r="M15" s="32"/>
      <c r="N15" s="32" t="s">
        <v>148</v>
      </c>
      <c r="O15" s="32"/>
      <c r="P15" s="32"/>
      <c r="Q15" s="32" t="s">
        <v>147</v>
      </c>
      <c r="R15" s="32"/>
      <c r="S15" s="32"/>
      <c r="T15" s="32"/>
      <c r="U15" s="32" t="s">
        <v>151</v>
      </c>
      <c r="V15" s="32" t="s">
        <v>149</v>
      </c>
      <c r="W15" s="32"/>
      <c r="X15" s="32"/>
      <c r="Y15" s="32"/>
      <c r="Z15" s="32"/>
      <c r="AA15" s="32"/>
      <c r="AB15" s="32" t="s">
        <v>148</v>
      </c>
      <c r="AC15" s="32"/>
      <c r="AD15" s="32"/>
    </row>
    <row r="16" spans="1:30" x14ac:dyDescent="0.25">
      <c r="A16" s="31" t="str">
        <v>aws production</v>
      </c>
      <c r="B16" s="32" t="s">
        <v>148</v>
      </c>
      <c r="C16" s="32"/>
      <c r="D16" s="32"/>
      <c r="E16" s="32"/>
      <c r="F16" s="32"/>
      <c r="G16" s="32" t="s">
        <v>150</v>
      </c>
      <c r="H16" s="32" t="s">
        <v>148</v>
      </c>
      <c r="I16" s="32"/>
      <c r="J16" s="32" t="s">
        <v>148</v>
      </c>
      <c r="K16" s="32"/>
      <c r="L16" s="32"/>
      <c r="M16" s="32"/>
      <c r="N16" s="32" t="s">
        <v>148</v>
      </c>
      <c r="O16" s="32"/>
      <c r="P16" s="32"/>
      <c r="Q16" s="32" t="s">
        <v>147</v>
      </c>
      <c r="R16" s="32"/>
      <c r="S16" s="32"/>
      <c r="T16" s="32"/>
      <c r="U16" s="32" t="s">
        <v>151</v>
      </c>
      <c r="V16" s="32" t="s">
        <v>149</v>
      </c>
      <c r="W16" s="32"/>
      <c r="X16" s="32"/>
      <c r="Y16" s="32"/>
      <c r="Z16" s="32"/>
      <c r="AA16" s="32"/>
      <c r="AB16" s="32"/>
      <c r="AC16" s="32"/>
      <c r="AD16" s="32"/>
    </row>
    <row r="17" spans="1:30" x14ac:dyDescent="0.25">
      <c r="A17" s="31" t="str">
        <v>assembly</v>
      </c>
      <c r="B17" s="32" t="s">
        <v>148</v>
      </c>
      <c r="C17" s="32"/>
      <c r="D17" s="32"/>
      <c r="E17" s="32"/>
      <c r="F17" s="32"/>
      <c r="G17" s="32" t="s">
        <v>150</v>
      </c>
      <c r="H17" s="32" t="s">
        <v>148</v>
      </c>
      <c r="I17" s="32"/>
      <c r="J17" s="32" t="s">
        <v>148</v>
      </c>
      <c r="K17" s="32"/>
      <c r="L17" s="32"/>
      <c r="M17" s="32"/>
      <c r="N17" s="32" t="s">
        <v>148</v>
      </c>
      <c r="O17" s="32"/>
      <c r="P17" s="32"/>
      <c r="Q17" s="32" t="s">
        <v>147</v>
      </c>
      <c r="R17" s="32"/>
      <c r="S17" s="32"/>
      <c r="T17" s="32"/>
      <c r="U17" s="32" t="s">
        <v>151</v>
      </c>
      <c r="V17" s="32" t="s">
        <v>149</v>
      </c>
      <c r="W17" s="32"/>
      <c r="X17" s="32"/>
      <c r="Y17" s="32"/>
      <c r="Z17" s="32"/>
      <c r="AA17" s="32"/>
      <c r="AB17" s="32"/>
      <c r="AC17" s="32"/>
      <c r="AD17" s="32"/>
    </row>
    <row r="18" spans="1:30" x14ac:dyDescent="0.25">
      <c r="A18" s="31" t="str">
        <v>label</v>
      </c>
      <c r="B18" s="32" t="s">
        <v>148</v>
      </c>
      <c r="C18" s="32"/>
      <c r="D18" s="32"/>
      <c r="E18" s="32"/>
      <c r="F18" s="32"/>
      <c r="G18" s="32" t="s">
        <v>150</v>
      </c>
      <c r="H18" s="32" t="s">
        <v>148</v>
      </c>
      <c r="I18" s="32"/>
      <c r="J18" s="32" t="s">
        <v>148</v>
      </c>
      <c r="K18" s="32"/>
      <c r="L18" s="32"/>
      <c r="M18" s="32"/>
      <c r="N18" s="32" t="s">
        <v>148</v>
      </c>
      <c r="O18" s="32" t="s">
        <v>148</v>
      </c>
      <c r="P18" s="32"/>
      <c r="Q18" s="32" t="s">
        <v>147</v>
      </c>
      <c r="R18" s="32"/>
      <c r="S18" s="32"/>
      <c r="T18" s="32"/>
      <c r="U18" s="32" t="s">
        <v>151</v>
      </c>
      <c r="V18" s="32" t="s">
        <v>149</v>
      </c>
      <c r="W18" s="32"/>
      <c r="X18" s="32"/>
      <c r="Y18" s="32"/>
      <c r="Z18" s="32"/>
      <c r="AA18" s="32"/>
      <c r="AB18" s="32"/>
      <c r="AC18" s="32"/>
      <c r="AD18" s="32"/>
    </row>
    <row r="19" spans="1:30" x14ac:dyDescent="0.25">
      <c r="A19" s="31" t="str">
        <v>hardware</v>
      </c>
      <c r="B19" s="32"/>
      <c r="C19" s="32"/>
      <c r="D19" s="32"/>
      <c r="E19" s="32"/>
      <c r="F19" s="32"/>
      <c r="G19" s="32" t="s">
        <v>150</v>
      </c>
      <c r="H19" s="32" t="s">
        <v>148</v>
      </c>
      <c r="I19" s="32"/>
      <c r="J19" s="32" t="s">
        <v>148</v>
      </c>
      <c r="K19" s="32"/>
      <c r="L19" s="32"/>
      <c r="M19" s="32"/>
      <c r="N19" s="32" t="s">
        <v>148</v>
      </c>
      <c r="O19" s="32"/>
      <c r="P19" s="32"/>
      <c r="Q19" s="32" t="s">
        <v>147</v>
      </c>
      <c r="R19" s="32"/>
      <c r="S19" s="32"/>
      <c r="T19" s="32"/>
      <c r="U19" s="32" t="s">
        <v>151</v>
      </c>
      <c r="V19" s="32" t="s">
        <v>149</v>
      </c>
      <c r="W19" s="32"/>
      <c r="X19" s="32"/>
      <c r="Y19" s="32"/>
      <c r="Z19" s="32"/>
      <c r="AA19" s="32" t="s">
        <v>148</v>
      </c>
      <c r="AB19" s="32"/>
      <c r="AC19" s="32"/>
      <c r="AD19" s="32"/>
    </row>
    <row r="20" spans="1:30" x14ac:dyDescent="0.25">
      <c r="A20" s="31" t="str">
        <v>others</v>
      </c>
      <c r="B20" s="32"/>
      <c r="C20" s="32"/>
      <c r="D20" s="32"/>
      <c r="E20" s="32"/>
      <c r="F20" s="32"/>
      <c r="G20" s="32" t="s">
        <v>150</v>
      </c>
      <c r="H20" s="32" t="s">
        <v>148</v>
      </c>
      <c r="I20" s="32"/>
      <c r="J20" s="32" t="s">
        <v>148</v>
      </c>
      <c r="K20" s="32"/>
      <c r="L20" s="32"/>
      <c r="M20" s="32"/>
      <c r="N20" s="32" t="s">
        <v>148</v>
      </c>
      <c r="O20" s="32"/>
      <c r="P20" s="32"/>
      <c r="Q20" s="32" t="s">
        <v>147</v>
      </c>
      <c r="R20" s="32"/>
      <c r="S20" s="32"/>
      <c r="T20" s="32"/>
      <c r="U20" s="32" t="s">
        <v>151</v>
      </c>
      <c r="V20" s="32" t="s">
        <v>149</v>
      </c>
      <c r="W20" s="32"/>
      <c r="X20" s="32"/>
      <c r="Y20" s="32"/>
      <c r="Z20" s="32"/>
      <c r="AA20" s="32"/>
      <c r="AB20" s="32"/>
      <c r="AC20" s="32"/>
      <c r="AD20" s="32"/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983-2F35-4042-9AD5-BE83D2C84DC8}">
  <sheetPr codeName="Sheet9"/>
  <dimension ref="A1:B12"/>
  <sheetViews>
    <sheetView tabSelected="1" workbookViewId="0">
      <selection activeCell="B19" sqref="B19"/>
    </sheetView>
  </sheetViews>
  <sheetFormatPr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101</v>
      </c>
      <c r="B1" t="s">
        <v>102</v>
      </c>
    </row>
    <row r="2" spans="1:2" x14ac:dyDescent="0.25">
      <c r="A2" t="s">
        <v>51</v>
      </c>
      <c r="B2" t="s">
        <v>52</v>
      </c>
    </row>
    <row r="3" spans="1:2" x14ac:dyDescent="0.25">
      <c r="A3" t="s">
        <v>53</v>
      </c>
      <c r="B3" t="s">
        <v>54</v>
      </c>
    </row>
    <row r="4" spans="1:2" x14ac:dyDescent="0.25">
      <c r="A4" t="s">
        <v>103</v>
      </c>
      <c r="B4" t="s">
        <v>142</v>
      </c>
    </row>
    <row r="5" spans="1:2" x14ac:dyDescent="0.25">
      <c r="A5" t="s">
        <v>133</v>
      </c>
      <c r="B5" t="s">
        <v>134</v>
      </c>
    </row>
    <row r="6" spans="1:2" x14ac:dyDescent="0.25">
      <c r="A6" t="s">
        <v>104</v>
      </c>
      <c r="B6" t="s">
        <v>135</v>
      </c>
    </row>
    <row r="7" spans="1:2" x14ac:dyDescent="0.25">
      <c r="A7" t="s">
        <v>110</v>
      </c>
      <c r="B7" t="s">
        <v>136</v>
      </c>
    </row>
    <row r="8" spans="1:2" x14ac:dyDescent="0.25">
      <c r="A8" t="s">
        <v>138</v>
      </c>
      <c r="B8" t="s">
        <v>146</v>
      </c>
    </row>
    <row r="9" spans="1:2" x14ac:dyDescent="0.25">
      <c r="A9" s="18" t="s">
        <v>118</v>
      </c>
      <c r="B9" s="18" t="s">
        <v>119</v>
      </c>
    </row>
    <row r="10" spans="1:2" x14ac:dyDescent="0.25">
      <c r="A10" t="s">
        <v>127</v>
      </c>
      <c r="B10" t="s">
        <v>160</v>
      </c>
    </row>
    <row r="11" spans="1:2" x14ac:dyDescent="0.25">
      <c r="A11" t="s">
        <v>137</v>
      </c>
      <c r="B11" t="s">
        <v>143</v>
      </c>
    </row>
    <row r="12" spans="1:2" x14ac:dyDescent="0.25">
      <c r="A12" t="s">
        <v>141</v>
      </c>
      <c r="B12" t="s">
        <v>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73B38-A881-4303-B3F4-A3579A1CBF99}">
  <dimension ref="A4:A5"/>
  <sheetViews>
    <sheetView workbookViewId="0">
      <selection activeCell="A23" sqref="A22:A23"/>
    </sheetView>
  </sheetViews>
  <sheetFormatPr defaultRowHeight="15" x14ac:dyDescent="0.25"/>
  <cols>
    <col min="1" max="1" width="58.7109375" style="9" customWidth="1"/>
  </cols>
  <sheetData>
    <row r="4" spans="1:1" ht="30" x14ac:dyDescent="0.25">
      <c r="A4" s="9" t="s">
        <v>117</v>
      </c>
    </row>
    <row r="5" spans="1:1" ht="30" x14ac:dyDescent="0.25">
      <c r="A5" s="9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variables</vt:lpstr>
      <vt:lpstr>SETUP LINKS AND TO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Quesada</dc:creator>
  <cp:lastModifiedBy>Francisco Quesada</cp:lastModifiedBy>
  <dcterms:created xsi:type="dcterms:W3CDTF">2021-05-09T03:02:59Z</dcterms:created>
  <dcterms:modified xsi:type="dcterms:W3CDTF">2022-01-22T23:45:00Z</dcterms:modified>
</cp:coreProperties>
</file>