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cess" sheetId="1" state="visible" r:id="rId3"/>
    <sheet name="property" sheetId="2" state="visible" r:id="rId4"/>
    <sheet name="processfields" sheetId="3" state="visible" r:id="rId5"/>
    <sheet name="variables" sheetId="4" state="visible" r:id="rId6"/>
    <sheet name="SETUP LINKS AND TO CHECK" sheetId="5" state="visible" r:id="rId7"/>
  </sheets>
  <definedNames>
    <definedName function="false" hidden="true" localSheetId="0" name="_xlnm._FilterDatabase" vbProcedure="false">process!$A$1:$H$20</definedName>
    <definedName function="false" hidden="true" localSheetId="1" name="_xlnm._FilterDatabase" vbProcedure="false">property!$A$1:$I$28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<sst xmlns="http://schemas.openxmlformats.org/spreadsheetml/2006/main" count="391" uniqueCount="158">
  <si>
    <t xml:space="preserve">process</t>
  </si>
  <si>
    <t xml:space="preserve">priority</t>
  </si>
  <si>
    <t xml:space="preserve">colorsample</t>
  </si>
  <si>
    <t xml:space="preserve">color</t>
  </si>
  <si>
    <t xml:space="preserve">icon</t>
  </si>
  <si>
    <t xml:space="preserve">pdf</t>
  </si>
  <si>
    <t xml:space="preserve">dxf</t>
  </si>
  <si>
    <t xml:space="preserve">step</t>
  </si>
  <si>
    <t xml:space="preserve">required_properties</t>
  </si>
  <si>
    <t xml:space="preserve">MANUFACTURE(RAPID, THIRD ANGLE)</t>
  </si>
  <si>
    <t xml:space="preserve">MACHINING</t>
  </si>
  <si>
    <t xml:space="preserve">PROFILE CUT</t>
  </si>
  <si>
    <t xml:space="preserve">GASKET</t>
  </si>
  <si>
    <t xml:space="preserve">purchase</t>
  </si>
  <si>
    <t xml:space="preserve">purchase.svg</t>
  </si>
  <si>
    <t xml:space="preserve">machine</t>
  </si>
  <si>
    <t xml:space="preserve">machine.svg</t>
  </si>
  <si>
    <t xml:space="preserve">X</t>
  </si>
  <si>
    <t xml:space="preserve">welding</t>
  </si>
  <si>
    <t xml:space="preserve">welding.svg</t>
  </si>
  <si>
    <t xml:space="preserve">supplier, supplier_partnumber</t>
  </si>
  <si>
    <t xml:space="preserve">folding</t>
  </si>
  <si>
    <t xml:space="preserve">folding.svg</t>
  </si>
  <si>
    <t xml:space="preserve">rolling</t>
  </si>
  <si>
    <t xml:space="preserve">roll.svg</t>
  </si>
  <si>
    <t xml:space="preserve">casting</t>
  </si>
  <si>
    <t xml:space="preserve">casting.svg</t>
  </si>
  <si>
    <t xml:space="preserve">lasercut</t>
  </si>
  <si>
    <t xml:space="preserve">lasercut.svg</t>
  </si>
  <si>
    <t xml:space="preserve">profile cut</t>
  </si>
  <si>
    <t xml:space="preserve">profilecut.svg</t>
  </si>
  <si>
    <t xml:space="preserve">thickness</t>
  </si>
  <si>
    <t xml:space="preserve">3d laser</t>
  </si>
  <si>
    <t xml:space="preserve">3d-laser.svg</t>
  </si>
  <si>
    <t xml:space="preserve">cutting</t>
  </si>
  <si>
    <t xml:space="preserve">cutting.svg</t>
  </si>
  <si>
    <t xml:space="preserve">sewing</t>
  </si>
  <si>
    <t xml:space="preserve">sewing.svg</t>
  </si>
  <si>
    <t xml:space="preserve">3d print</t>
  </si>
  <si>
    <t xml:space="preserve">3d-printing.svg</t>
  </si>
  <si>
    <t xml:space="preserve">stud welding</t>
  </si>
  <si>
    <t xml:space="preserve">paint</t>
  </si>
  <si>
    <t xml:space="preserve">spray.svg</t>
  </si>
  <si>
    <t xml:space="preserve">aws production</t>
  </si>
  <si>
    <t xml:space="preserve">assembly.svg</t>
  </si>
  <si>
    <t xml:space="preserve">assembly</t>
  </si>
  <si>
    <t xml:space="preserve">label</t>
  </si>
  <si>
    <t xml:space="preserve">label.svg</t>
  </si>
  <si>
    <t xml:space="preserve">hardware</t>
  </si>
  <si>
    <t xml:space="preserve">hardware.svg</t>
  </si>
  <si>
    <t xml:space="preserve">others</t>
  </si>
  <si>
    <t xml:space="preserve">unknown.svg</t>
  </si>
  <si>
    <t xml:space="preserve">custom_property</t>
  </si>
  <si>
    <t xml:space="preserve">tinymrp_property</t>
  </si>
  <si>
    <t xml:space="preserve">property</t>
  </si>
  <si>
    <t xml:space="preserve">database</t>
  </si>
  <si>
    <t xml:space="preserve">combine_with</t>
  </si>
  <si>
    <t xml:space="preserve">category</t>
  </si>
  <si>
    <t xml:space="preserve">type</t>
  </si>
  <si>
    <t xml:space="preserve">lowercase_needed</t>
  </si>
  <si>
    <t xml:space="preserve">rename</t>
  </si>
  <si>
    <t xml:space="preserve">Approved</t>
  </si>
  <si>
    <t xml:space="preserve">approved</t>
  </si>
  <si>
    <t xml:space="preserve">standard</t>
  </si>
  <si>
    <t xml:space="preserve">str</t>
  </si>
  <si>
    <t xml:space="preserve">Author</t>
  </si>
  <si>
    <t xml:space="preserve">author</t>
  </si>
  <si>
    <t xml:space="preserve">SW-Configuration Name(Configuration Name)</t>
  </si>
  <si>
    <t xml:space="preserve">sw_configuration</t>
  </si>
  <si>
    <t xml:space="preserve">configuration</t>
  </si>
  <si>
    <t xml:space="preserve">required</t>
  </si>
  <si>
    <t xml:space="preserve">OEM_Data_Sheet</t>
  </si>
  <si>
    <t xml:space="preserve">datasheet</t>
  </si>
  <si>
    <t xml:space="preserve">Description</t>
  </si>
  <si>
    <t xml:space="preserve">description</t>
  </si>
  <si>
    <t xml:space="preserve">DrawnDate</t>
  </si>
  <si>
    <t xml:space="preserve">drawndate</t>
  </si>
  <si>
    <t xml:space="preserve">SW-File Name(File Name)</t>
  </si>
  <si>
    <t xml:space="preserve">sw_file</t>
  </si>
  <si>
    <t xml:space="preserve">file</t>
  </si>
  <si>
    <t xml:space="preserve">Finish</t>
  </si>
  <si>
    <t xml:space="preserve">finish</t>
  </si>
  <si>
    <t xml:space="preserve">SW-Folder Name(Folder Name)</t>
  </si>
  <si>
    <t xml:space="preserve">sw_folder</t>
  </si>
  <si>
    <t xml:space="preserve">folder</t>
  </si>
  <si>
    <t xml:space="preserve">Item No.</t>
  </si>
  <si>
    <t xml:space="preserve">item_no</t>
  </si>
  <si>
    <t xml:space="preserve">OEM_Internet</t>
  </si>
  <si>
    <t xml:space="preserve">link</t>
  </si>
  <si>
    <t xml:space="preserve">mass</t>
  </si>
  <si>
    <t xml:space="preserve">float</t>
  </si>
  <si>
    <t xml:space="preserve">Material</t>
  </si>
  <si>
    <t xml:space="preserve">material</t>
  </si>
  <si>
    <t xml:space="preserve">OEM_Supplier</t>
  </si>
  <si>
    <t xml:space="preserve">oem</t>
  </si>
  <si>
    <t xml:space="preserve">PART NUMBER</t>
  </si>
  <si>
    <t xml:space="preserve">partnumber</t>
  </si>
  <si>
    <t xml:space="preserve">process2</t>
  </si>
  <si>
    <t xml:space="preserve">process3</t>
  </si>
  <si>
    <t xml:space="preserve">QTY</t>
  </si>
  <si>
    <t xml:space="preserve">qty</t>
  </si>
  <si>
    <t xml:space="preserve">int</t>
  </si>
  <si>
    <t xml:space="preserve">revision</t>
  </si>
  <si>
    <t xml:space="preserve">Spare_Part</t>
  </si>
  <si>
    <t xml:space="preserve">spare_part</t>
  </si>
  <si>
    <t xml:space="preserve">bool</t>
  </si>
  <si>
    <t xml:space="preserve">Distributor</t>
  </si>
  <si>
    <t xml:space="preserve">supplier</t>
  </si>
  <si>
    <t xml:space="preserve">Supplier_Part_Number</t>
  </si>
  <si>
    <t xml:space="preserve">supplier_partnumber</t>
  </si>
  <si>
    <t xml:space="preserve">Sheet Metal Thickness</t>
  </si>
  <si>
    <t xml:space="preserve">Treatment</t>
  </si>
  <si>
    <t xml:space="preserve">treatment</t>
  </si>
  <si>
    <t xml:space="preserve">Colour</t>
  </si>
  <si>
    <t xml:space="preserve">colour</t>
  </si>
  <si>
    <t xml:space="preserve">Design_Notes</t>
  </si>
  <si>
    <t xml:space="preserve">notes</t>
  </si>
  <si>
    <t xml:space="preserve">Asset</t>
  </si>
  <si>
    <t xml:space="preserve">asset</t>
  </si>
  <si>
    <t xml:space="preserve">d</t>
  </si>
  <si>
    <t xml:space="preserve">e</t>
  </si>
  <si>
    <t xml:space="preserve">3</t>
  </si>
  <si>
    <t xml:space="preserve">f</t>
  </si>
  <si>
    <t xml:space="preserve">g</t>
  </si>
  <si>
    <t xml:space="preserve">c</t>
  </si>
  <si>
    <t xml:space="preserve">1</t>
  </si>
  <si>
    <t xml:space="preserve">4</t>
  </si>
  <si>
    <t xml:space="preserve">2</t>
  </si>
  <si>
    <t xml:space="preserve">a</t>
  </si>
  <si>
    <t xml:space="preserve">b</t>
  </si>
  <si>
    <t xml:space="preserve">h</t>
  </si>
  <si>
    <t xml:space="preserve">yes</t>
  </si>
  <si>
    <t xml:space="preserve">variable</t>
  </si>
  <si>
    <t xml:space="preserve">value</t>
  </si>
  <si>
    <t xml:space="preserve">tinymrp</t>
  </si>
  <si>
    <t xml:space="preserve">C:/TinyMRP/</t>
  </si>
  <si>
    <t xml:space="preserve">media</t>
  </si>
  <si>
    <t xml:space="preserve">media/</t>
  </si>
  <si>
    <t xml:space="preserve">folderout</t>
  </si>
  <si>
    <t xml:space="preserve">/Deliverables/temp/</t>
  </si>
  <si>
    <t xml:space="preserve">filelist</t>
  </si>
  <si>
    <t xml:space="preserve">pdf,dxf,step,png,easm,eprt,edrw,threemf</t>
  </si>
  <si>
    <t xml:space="preserve">tinymrp_deliverables</t>
  </si>
  <si>
    <t xml:space="preserve">dxf,edr,jpg,jpg_d,pdf,png,png_d,step</t>
  </si>
  <si>
    <t xml:space="preserve">deliverables_folder</t>
  </si>
  <si>
    <t xml:space="preserve">/Deliverables/</t>
  </si>
  <si>
    <t xml:space="preserve">datasheet_folder</t>
  </si>
  <si>
    <t xml:space="preserve">/datasheet/</t>
  </si>
  <si>
    <t xml:space="preserve">path_wkhtmltopdf</t>
  </si>
  <si>
    <t xml:space="preserve">C:\Program Files\wkhtmltopdf\bin\wkhtmltopdf.exe</t>
  </si>
  <si>
    <t xml:space="preserve">webfileserver</t>
  </si>
  <si>
    <t xml:space="preserve">139.216.202.47:8888</t>
  </si>
  <si>
    <t xml:space="preserve">fileserver_path</t>
  </si>
  <si>
    <t xml:space="preserve">/home/tinymrp/Fileserver</t>
  </si>
  <si>
    <t xml:space="preserve">webserver</t>
  </si>
  <si>
    <t xml:space="preserve">139.216.202.47/vault</t>
  </si>
  <si>
    <t xml:space="preserve">To export html pages to pdf , this is needed to be installed. And then added to the path</t>
  </si>
  <si>
    <t xml:space="preserve">https://github.com/JazzCore/python-pdfkit/wiki/Installing-wkhtmltopdf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</si>
</sst>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@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right" vertical="bottom" textRotation="9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8">
    <dxf>
      <fill>
        <patternFill patternType="solid">
          <fgColor rgb="FF00B0F0"/>
        </patternFill>
      </fill>
    </dxf>
    <dxf>
      <fill>
        <patternFill patternType="solid">
          <fgColor rgb="FF92D050"/>
        </patternFill>
      </fill>
    </dxf>
    <dxf>
      <fill>
        <patternFill patternType="solid">
          <fgColor rgb="FFADB9CA"/>
        </patternFill>
      </fill>
    </dxf>
    <dxf>
      <fill>
        <patternFill patternType="solid">
          <fgColor rgb="FFFFD96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3" activeCellId="0" sqref="D23"/>
    </sheetView>
  </sheetViews>
  <sheetFormatPr defaultColWidth="8.72265625" defaultRowHeight="15" zeroHeight="false" outlineLevelRow="0" outlineLevelCol="0"/>
  <cols>
    <col collapsed="false" customWidth="true" hidden="false" outlineLevel="0" max="1" min="1" style="0" width="17.71"/>
    <col collapsed="false" customWidth="true" hidden="false" outlineLevel="0" max="2" min="2" style="0" width="20.42"/>
    <col collapsed="false" customWidth="true" hidden="false" outlineLevel="0" max="3" min="3" style="0" width="10"/>
    <col collapsed="false" customWidth="true" hidden="false" outlineLevel="0" max="4" min="4" style="0" width="16"/>
    <col collapsed="false" customWidth="true" hidden="false" outlineLevel="0" max="5" min="5" style="0" width="17.14"/>
    <col collapsed="false" customWidth="true" hidden="false" outlineLevel="0" max="6" min="6" style="0" width="13.43"/>
    <col collapsed="false" customWidth="true" hidden="false" outlineLevel="0" max="7" min="7" style="0" width="11.42"/>
    <col collapsed="false" customWidth="true" hidden="false" outlineLevel="0" max="8" min="8" style="0" width="10.99"/>
    <col collapsed="false" customWidth="true" hidden="false" outlineLevel="0" max="9" min="9" style="0" width="28.86"/>
    <col collapsed="false" customWidth="true" hidden="false" outlineLevel="0" max="10" min="10" style="0" width="37.57"/>
    <col collapsed="false" customWidth="true" hidden="false" outlineLevel="0" max="11" min="11" style="0" width="15.57"/>
    <col collapsed="false" customWidth="true" hidden="false" outlineLevel="0" max="12" min="12" style="0" width="16.57"/>
    <col collapsed="false" customWidth="true" hidden="false" outlineLevel="0" max="13" min="13" style="0" width="32.4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0" t="s">
        <v>8</v>
      </c>
      <c r="J1" s="0" t="s">
        <v>9</v>
      </c>
      <c r="K1" s="0" t="s">
        <v>10</v>
      </c>
      <c r="L1" s="0" t="s">
        <v>11</v>
      </c>
      <c r="M1" s="0" t="s">
        <v>12</v>
      </c>
    </row>
    <row r="2" customFormat="false" ht="15" hidden="false" customHeight="false" outlineLevel="0" collapsed="false">
      <c r="A2" s="2" t="s">
        <v>13</v>
      </c>
      <c r="B2" s="0" t="n">
        <v>11</v>
      </c>
      <c r="C2" s="3"/>
      <c r="D2" s="0" t="str">
        <f aca="false">GETCOLOR(C2,"rgb")</f>
        <v>112, 48, 160</v>
      </c>
      <c r="E2" s="0" t="s">
        <v>14</v>
      </c>
      <c r="F2" s="0" t="n">
        <v>1</v>
      </c>
      <c r="G2" s="0" t="n">
        <v>0</v>
      </c>
      <c r="H2" s="0" t="n">
        <v>0</v>
      </c>
    </row>
    <row r="3" customFormat="false" ht="15" hidden="false" customHeight="false" outlineLevel="0" collapsed="false">
      <c r="A3" s="2" t="s">
        <v>15</v>
      </c>
      <c r="B3" s="0" t="n">
        <v>12</v>
      </c>
      <c r="C3" s="4"/>
      <c r="D3" s="5" t="str">
        <f aca="false">GETCOLOR(C3,"rgb")</f>
        <v>255, 0, 0</v>
      </c>
      <c r="E3" s="0" t="s">
        <v>16</v>
      </c>
      <c r="F3" s="0" t="n">
        <v>1</v>
      </c>
      <c r="G3" s="0" t="n">
        <v>0</v>
      </c>
      <c r="H3" s="0" t="n">
        <v>1</v>
      </c>
      <c r="K3" s="0" t="s">
        <v>17</v>
      </c>
    </row>
    <row r="4" customFormat="false" ht="15" hidden="false" customHeight="false" outlineLevel="0" collapsed="false">
      <c r="A4" s="2" t="s">
        <v>18</v>
      </c>
      <c r="B4" s="0" t="n">
        <v>13</v>
      </c>
      <c r="C4" s="6"/>
      <c r="D4" s="5" t="str">
        <f aca="false">GETCOLOR(C4,"rgb")</f>
        <v>255, 192, 0</v>
      </c>
      <c r="E4" s="0" t="s">
        <v>19</v>
      </c>
      <c r="F4" s="0" t="n">
        <v>1</v>
      </c>
      <c r="G4" s="0" t="n">
        <v>0</v>
      </c>
      <c r="H4" s="0" t="n">
        <v>0</v>
      </c>
      <c r="I4" s="0" t="s">
        <v>20</v>
      </c>
    </row>
    <row r="5" customFormat="false" ht="15" hidden="false" customHeight="false" outlineLevel="0" collapsed="false">
      <c r="A5" s="7" t="s">
        <v>21</v>
      </c>
      <c r="B5" s="0" t="n">
        <v>20</v>
      </c>
      <c r="C5" s="8"/>
      <c r="D5" s="5" t="str">
        <f aca="false">GETCOLOR(C5,"rgb")</f>
        <v>0, 102, 0</v>
      </c>
      <c r="E5" s="0" t="s">
        <v>22</v>
      </c>
      <c r="F5" s="0" t="n">
        <v>1</v>
      </c>
      <c r="G5" s="0" t="n">
        <v>1</v>
      </c>
      <c r="H5" s="0" t="n">
        <v>1</v>
      </c>
    </row>
    <row r="6" customFormat="false" ht="15" hidden="false" customHeight="false" outlineLevel="0" collapsed="false">
      <c r="A6" s="7" t="s">
        <v>23</v>
      </c>
      <c r="B6" s="0" t="n">
        <v>21</v>
      </c>
      <c r="C6" s="8"/>
      <c r="D6" s="5" t="str">
        <f aca="false">GETCOLOR(C6,"rgb")</f>
        <v>0, 102, 0</v>
      </c>
      <c r="E6" s="0" t="s">
        <v>24</v>
      </c>
      <c r="F6" s="0" t="n">
        <v>1</v>
      </c>
      <c r="G6" s="0" t="n">
        <v>0</v>
      </c>
      <c r="H6" s="0" t="n">
        <v>0</v>
      </c>
    </row>
    <row r="7" customFormat="false" ht="15" hidden="false" customHeight="false" outlineLevel="0" collapsed="false">
      <c r="A7" s="7" t="s">
        <v>25</v>
      </c>
      <c r="B7" s="0" t="n">
        <v>22</v>
      </c>
      <c r="C7" s="9"/>
      <c r="D7" s="5" t="str">
        <f aca="false">GETCOLOR(C7,"rgb")</f>
        <v>255, 0, 255</v>
      </c>
      <c r="E7" s="0" t="s">
        <v>26</v>
      </c>
      <c r="F7" s="0" t="n">
        <v>1</v>
      </c>
      <c r="G7" s="0" t="n">
        <v>0</v>
      </c>
      <c r="H7" s="0" t="n">
        <v>0</v>
      </c>
    </row>
    <row r="8" customFormat="false" ht="15" hidden="false" customHeight="false" outlineLevel="0" collapsed="false">
      <c r="A8" s="10" t="s">
        <v>27</v>
      </c>
      <c r="B8" s="0" t="n">
        <v>30</v>
      </c>
      <c r="C8" s="11"/>
      <c r="D8" s="5" t="str">
        <f aca="false">GETCOLOR(C8,"rgb")</f>
        <v>0, 176, 80</v>
      </c>
      <c r="E8" s="0" t="s">
        <v>28</v>
      </c>
      <c r="F8" s="0" t="n">
        <v>1</v>
      </c>
      <c r="G8" s="0" t="n">
        <v>1</v>
      </c>
      <c r="H8" s="0" t="n">
        <v>1</v>
      </c>
    </row>
    <row r="9" customFormat="false" ht="15" hidden="false" customHeight="false" outlineLevel="0" collapsed="false">
      <c r="A9" s="10" t="s">
        <v>29</v>
      </c>
      <c r="B9" s="0" t="n">
        <v>32</v>
      </c>
      <c r="C9" s="12"/>
      <c r="D9" s="5" t="str">
        <f aca="false">GETCOLOR(C9,"rgb")</f>
        <v>153, 102, 51</v>
      </c>
      <c r="E9" s="0" t="s">
        <v>30</v>
      </c>
      <c r="F9" s="0" t="n">
        <v>1</v>
      </c>
      <c r="G9" s="0" t="n">
        <v>1</v>
      </c>
      <c r="H9" s="0" t="n">
        <v>0</v>
      </c>
      <c r="I9" s="0" t="s">
        <v>31</v>
      </c>
      <c r="J9" s="0" t="s">
        <v>17</v>
      </c>
    </row>
    <row r="10" customFormat="false" ht="15" hidden="false" customHeight="false" outlineLevel="0" collapsed="false">
      <c r="A10" s="10" t="s">
        <v>32</v>
      </c>
      <c r="B10" s="0" t="n">
        <v>33</v>
      </c>
      <c r="C10" s="11"/>
      <c r="D10" s="5" t="str">
        <f aca="false">GETCOLOR(C10,"rgb")</f>
        <v>0, 176, 80</v>
      </c>
      <c r="E10" s="0" t="s">
        <v>33</v>
      </c>
      <c r="F10" s="0" t="n">
        <v>1</v>
      </c>
      <c r="G10" s="0" t="n">
        <v>0</v>
      </c>
      <c r="H10" s="0" t="n">
        <v>1</v>
      </c>
    </row>
    <row r="11" customFormat="false" ht="15" hidden="false" customHeight="false" outlineLevel="0" collapsed="false">
      <c r="A11" s="10" t="s">
        <v>34</v>
      </c>
      <c r="B11" s="0" t="n">
        <v>34</v>
      </c>
      <c r="C11" s="6"/>
      <c r="D11" s="5" t="str">
        <f aca="false">GETCOLOR(C11,"rgb")</f>
        <v>255, 192, 0</v>
      </c>
      <c r="E11" s="0" t="s">
        <v>35</v>
      </c>
      <c r="F11" s="0" t="n">
        <v>1</v>
      </c>
      <c r="G11" s="0" t="n">
        <v>0</v>
      </c>
      <c r="H11" s="0" t="n">
        <v>0</v>
      </c>
      <c r="I11" s="0" t="s">
        <v>31</v>
      </c>
    </row>
    <row r="12" customFormat="false" ht="15" hidden="false" customHeight="false" outlineLevel="0" collapsed="false">
      <c r="A12" s="13" t="s">
        <v>36</v>
      </c>
      <c r="B12" s="0" t="n">
        <v>41</v>
      </c>
      <c r="C12" s="14"/>
      <c r="D12" s="5" t="str">
        <f aca="false">GETCOLOR(C12,"rgb")</f>
        <v>192, 0, 0</v>
      </c>
      <c r="E12" s="0" t="s">
        <v>37</v>
      </c>
      <c r="F12" s="0" t="n">
        <v>1</v>
      </c>
      <c r="G12" s="0" t="n">
        <v>0</v>
      </c>
      <c r="H12" s="0" t="n">
        <v>0</v>
      </c>
      <c r="J12" s="0" t="s">
        <v>17</v>
      </c>
    </row>
    <row r="13" customFormat="false" ht="15" hidden="false" customHeight="false" outlineLevel="0" collapsed="false">
      <c r="A13" s="13" t="s">
        <v>38</v>
      </c>
      <c r="B13" s="0" t="n">
        <v>42</v>
      </c>
      <c r="C13" s="14"/>
      <c r="D13" s="5" t="str">
        <f aca="false">GETCOLOR(C13,"rgb")</f>
        <v>192, 0, 0</v>
      </c>
      <c r="E13" s="0" t="s">
        <v>39</v>
      </c>
      <c r="F13" s="0" t="n">
        <v>1</v>
      </c>
      <c r="G13" s="0" t="n">
        <v>0</v>
      </c>
      <c r="H13" s="0" t="n">
        <v>1</v>
      </c>
    </row>
    <row r="14" customFormat="false" ht="15" hidden="false" customHeight="false" outlineLevel="0" collapsed="false">
      <c r="A14" s="13" t="s">
        <v>40</v>
      </c>
      <c r="B14" s="0" t="n">
        <v>43</v>
      </c>
      <c r="C14" s="6"/>
      <c r="D14" s="5" t="str">
        <f aca="false">GETCOLOR(C14,"rgb")</f>
        <v>255, 192, 0</v>
      </c>
      <c r="E14" s="0" t="s">
        <v>19</v>
      </c>
      <c r="F14" s="0" t="n">
        <v>1</v>
      </c>
      <c r="G14" s="0" t="n">
        <v>0</v>
      </c>
      <c r="H14" s="0" t="n">
        <v>0</v>
      </c>
      <c r="J14" s="0" t="s">
        <v>17</v>
      </c>
    </row>
    <row r="15" customFormat="false" ht="15" hidden="false" customHeight="false" outlineLevel="0" collapsed="false">
      <c r="A15" s="0" t="s">
        <v>41</v>
      </c>
      <c r="B15" s="0" t="n">
        <v>50</v>
      </c>
      <c r="C15" s="15"/>
      <c r="D15" s="5" t="str">
        <f aca="false">GETCOLOR(C15,"rgb")</f>
        <v>0, 32, 96</v>
      </c>
      <c r="E15" s="0" t="s">
        <v>42</v>
      </c>
      <c r="F15" s="0" t="n">
        <v>1</v>
      </c>
      <c r="G15" s="0" t="n">
        <v>0</v>
      </c>
      <c r="H15" s="0" t="n">
        <v>0</v>
      </c>
    </row>
    <row r="16" customFormat="false" ht="15" hidden="false" customHeight="false" outlineLevel="0" collapsed="false">
      <c r="A16" s="16" t="s">
        <v>43</v>
      </c>
      <c r="B16" s="0" t="n">
        <v>180</v>
      </c>
      <c r="C16" s="13"/>
      <c r="D16" s="5" t="str">
        <f aca="false">GETCOLOR(C16,"rgb")</f>
        <v>0, 176, 240</v>
      </c>
      <c r="E16" s="0" t="s">
        <v>44</v>
      </c>
      <c r="F16" s="0" t="n">
        <v>1</v>
      </c>
      <c r="G16" s="0" t="n">
        <v>0</v>
      </c>
      <c r="H16" s="0" t="n">
        <v>0</v>
      </c>
    </row>
    <row r="17" customFormat="false" ht="15" hidden="false" customHeight="false" outlineLevel="0" collapsed="false">
      <c r="A17" s="16" t="s">
        <v>45</v>
      </c>
      <c r="B17" s="0" t="n">
        <v>181</v>
      </c>
      <c r="C17" s="13"/>
      <c r="D17" s="5" t="str">
        <f aca="false">GETCOLOR(C17,"rgb")</f>
        <v>0, 176, 240</v>
      </c>
      <c r="E17" s="0" t="s">
        <v>44</v>
      </c>
      <c r="F17" s="0" t="n">
        <v>1</v>
      </c>
      <c r="G17" s="0" t="n">
        <v>0</v>
      </c>
      <c r="H17" s="0" t="n">
        <v>0</v>
      </c>
    </row>
    <row r="18" customFormat="false" ht="15" hidden="false" customHeight="false" outlineLevel="0" collapsed="false">
      <c r="A18" s="16" t="s">
        <v>46</v>
      </c>
      <c r="B18" s="0" t="n">
        <v>182</v>
      </c>
      <c r="C18" s="13"/>
      <c r="D18" s="5" t="str">
        <f aca="false">GETCOLOR(C18,"rgb")</f>
        <v>0, 176, 240</v>
      </c>
      <c r="E18" s="0" t="s">
        <v>47</v>
      </c>
      <c r="F18" s="0" t="n">
        <v>1</v>
      </c>
      <c r="G18" s="0" t="n">
        <v>0</v>
      </c>
      <c r="H18" s="0" t="n">
        <v>0</v>
      </c>
    </row>
    <row r="19" customFormat="false" ht="15" hidden="false" customHeight="false" outlineLevel="0" collapsed="false">
      <c r="A19" s="17" t="s">
        <v>48</v>
      </c>
      <c r="B19" s="0" t="n">
        <v>190</v>
      </c>
      <c r="C19" s="18"/>
      <c r="D19" s="5" t="str">
        <f aca="false">GETCOLOR(C19,"rgb")</f>
        <v>208, 206, 206</v>
      </c>
      <c r="E19" s="0" t="s">
        <v>49</v>
      </c>
      <c r="F19" s="0" t="n">
        <v>0</v>
      </c>
      <c r="G19" s="0" t="n">
        <v>0</v>
      </c>
      <c r="H19" s="0" t="n">
        <v>0</v>
      </c>
    </row>
    <row r="20" customFormat="false" ht="15" hidden="false" customHeight="false" outlineLevel="0" collapsed="false">
      <c r="A20" s="0" t="s">
        <v>50</v>
      </c>
      <c r="B20" s="0" t="n">
        <v>200</v>
      </c>
      <c r="C20" s="19"/>
      <c r="D20" s="5" t="str">
        <f aca="false">GETCOLOR(C20,"rgb")</f>
        <v>118, 113, 113</v>
      </c>
      <c r="E20" s="0" t="s">
        <v>51</v>
      </c>
      <c r="F20" s="0" t="n">
        <v>0</v>
      </c>
      <c r="G20" s="0" t="n">
        <v>0</v>
      </c>
      <c r="H20" s="0" t="n">
        <v>0</v>
      </c>
    </row>
  </sheetData>
  <autoFilter ref="A1:H20">
    <sortState ref="A2:H20">
      <sortCondition ref="A2:A20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1" activeCellId="0" sqref="A21"/>
    </sheetView>
  </sheetViews>
  <sheetFormatPr defaultColWidth="8.72265625" defaultRowHeight="15" zeroHeight="false" outlineLevelRow="0" outlineLevelCol="0"/>
  <cols>
    <col collapsed="false" customWidth="true" hidden="false" outlineLevel="0" max="1" min="1" style="0" width="33.71"/>
    <col collapsed="false" customWidth="true" hidden="false" outlineLevel="0" max="2" min="2" style="0" width="24"/>
    <col collapsed="false" customWidth="true" hidden="false" outlineLevel="0" max="4" min="3" style="0" width="32.15"/>
    <col collapsed="false" customWidth="true" hidden="false" outlineLevel="0" max="6" min="5" style="0" width="19.29"/>
    <col collapsed="false" customWidth="true" hidden="false" outlineLevel="0" max="7" min="7" style="0" width="10.99"/>
    <col collapsed="false" customWidth="true" hidden="false" outlineLevel="0" max="8" min="8" style="0" width="23.57"/>
    <col collapsed="false" customWidth="true" hidden="false" outlineLevel="0" max="9" min="9" style="0" width="11.42"/>
  </cols>
  <sheetData>
    <row r="1" s="21" customFormat="true" ht="50.25" hidden="false" customHeight="true" outlineLevel="0" collapsed="false">
      <c r="A1" s="20" t="s">
        <v>52</v>
      </c>
      <c r="B1" s="20" t="s">
        <v>53</v>
      </c>
      <c r="C1" s="20" t="s">
        <v>54</v>
      </c>
      <c r="D1" s="20" t="s">
        <v>55</v>
      </c>
      <c r="E1" s="20" t="s">
        <v>56</v>
      </c>
      <c r="F1" s="20" t="s">
        <v>57</v>
      </c>
      <c r="G1" s="20" t="s">
        <v>58</v>
      </c>
      <c r="H1" s="20" t="s">
        <v>59</v>
      </c>
      <c r="I1" s="20" t="s">
        <v>60</v>
      </c>
    </row>
    <row r="2" customFormat="false" ht="15" hidden="false" customHeight="false" outlineLevel="0" collapsed="false">
      <c r="A2" s="22" t="s">
        <v>61</v>
      </c>
      <c r="B2" s="23" t="s">
        <v>62</v>
      </c>
      <c r="C2" s="23" t="str">
        <f aca="false">LOWER(IF(ISBLANK(B2),LOWER(SUBSTITUTE(SUBSTITUTE(SUBSTITUTE(A2,".",""),"-","_")," ","_")),B2))</f>
        <v>approved</v>
      </c>
      <c r="D2" s="23" t="n">
        <v>1</v>
      </c>
      <c r="E2" s="24"/>
      <c r="F2" s="24" t="s">
        <v>63</v>
      </c>
      <c r="G2" s="24" t="s">
        <v>64</v>
      </c>
      <c r="I2" s="0" t="n">
        <f aca="false">TRUE()</f>
        <v>1</v>
      </c>
    </row>
    <row r="3" customFormat="false" ht="15" hidden="false" customHeight="false" outlineLevel="0" collapsed="false">
      <c r="A3" s="22" t="s">
        <v>65</v>
      </c>
      <c r="B3" s="23" t="s">
        <v>66</v>
      </c>
      <c r="C3" s="23" t="str">
        <f aca="false">LOWER(IF(ISBLANK(B3),LOWER(SUBSTITUTE(SUBSTITUTE(SUBSTITUTE(A3,".",""),"-","_")," ","_")),B3))</f>
        <v>author</v>
      </c>
      <c r="D3" s="23" t="n">
        <v>1</v>
      </c>
      <c r="E3" s="23"/>
      <c r="F3" s="24" t="s">
        <v>63</v>
      </c>
      <c r="G3" s="24" t="s">
        <v>64</v>
      </c>
      <c r="I3" s="0" t="n">
        <f aca="false">TRUE()</f>
        <v>1</v>
      </c>
    </row>
    <row r="4" customFormat="false" ht="15" hidden="false" customHeight="false" outlineLevel="0" collapsed="false">
      <c r="A4" s="22" t="s">
        <v>57</v>
      </c>
      <c r="B4" s="24" t="s">
        <v>57</v>
      </c>
      <c r="C4" s="23" t="str">
        <f aca="false">LOWER(IF(ISBLANK(B4),LOWER(SUBSTITUTE(SUBSTITUTE(SUBSTITUTE(A4,".",""),"-","_")," ","_")),B4))</f>
        <v>category</v>
      </c>
      <c r="D4" s="23" t="n">
        <v>1</v>
      </c>
      <c r="E4" s="24"/>
      <c r="F4" s="24" t="s">
        <v>63</v>
      </c>
      <c r="G4" s="24" t="s">
        <v>64</v>
      </c>
      <c r="I4" s="0" t="n">
        <f aca="false">TRUE()</f>
        <v>1</v>
      </c>
    </row>
    <row r="5" customFormat="false" ht="15" hidden="false" customHeight="false" outlineLevel="0" collapsed="false">
      <c r="A5" s="22" t="s">
        <v>67</v>
      </c>
      <c r="B5" s="23" t="s">
        <v>68</v>
      </c>
      <c r="C5" s="23" t="s">
        <v>69</v>
      </c>
      <c r="D5" s="23" t="n">
        <v>1</v>
      </c>
      <c r="E5" s="24"/>
      <c r="F5" s="24" t="s">
        <v>70</v>
      </c>
      <c r="G5" s="24" t="s">
        <v>64</v>
      </c>
      <c r="I5" s="0" t="n">
        <f aca="false">TRUE()</f>
        <v>1</v>
      </c>
    </row>
    <row r="6" customFormat="false" ht="15" hidden="false" customHeight="false" outlineLevel="0" collapsed="false">
      <c r="A6" s="22" t="s">
        <v>71</v>
      </c>
      <c r="B6" s="24" t="s">
        <v>72</v>
      </c>
      <c r="C6" s="23" t="str">
        <f aca="false">LOWER(IF(ISBLANK(B6),LOWER(SUBSTITUTE(SUBSTITUTE(SUBSTITUTE(A6,".",""),"-","_")," ","_")),B6))</f>
        <v>datasheet</v>
      </c>
      <c r="D6" s="23" t="n">
        <v>1</v>
      </c>
      <c r="E6" s="24"/>
      <c r="F6" s="24" t="s">
        <v>70</v>
      </c>
      <c r="G6" s="24" t="s">
        <v>64</v>
      </c>
      <c r="I6" s="0" t="n">
        <f aca="false">TRUE()</f>
        <v>1</v>
      </c>
    </row>
    <row r="7" customFormat="false" ht="15" hidden="false" customHeight="false" outlineLevel="0" collapsed="false">
      <c r="A7" s="22" t="s">
        <v>73</v>
      </c>
      <c r="B7" s="24" t="s">
        <v>74</v>
      </c>
      <c r="C7" s="23" t="str">
        <f aca="false">LOWER(IF(ISBLANK(B7),LOWER(SUBSTITUTE(SUBSTITUTE(SUBSTITUTE(A7,".",""),"-","_")," ","_")),B7))</f>
        <v>description</v>
      </c>
      <c r="D7" s="23" t="n">
        <v>1</v>
      </c>
      <c r="E7" s="24"/>
      <c r="F7" s="24" t="s">
        <v>70</v>
      </c>
      <c r="G7" s="24" t="s">
        <v>64</v>
      </c>
      <c r="I7" s="0" t="str">
        <f aca="false">IF(A7=B7,"False","True")</f>
        <v>False</v>
      </c>
    </row>
    <row r="8" customFormat="false" ht="15" hidden="false" customHeight="false" outlineLevel="0" collapsed="false">
      <c r="A8" s="22" t="s">
        <v>75</v>
      </c>
      <c r="B8" s="24" t="s">
        <v>76</v>
      </c>
      <c r="C8" s="23" t="str">
        <f aca="false">LOWER(IF(ISBLANK(B8),LOWER(SUBSTITUTE(SUBSTITUTE(SUBSTITUTE(A8,".",""),"-","_")," ","_")),B8))</f>
        <v>drawndate</v>
      </c>
      <c r="D8" s="23" t="n">
        <v>1</v>
      </c>
      <c r="E8" s="24"/>
      <c r="F8" s="24" t="s">
        <v>63</v>
      </c>
      <c r="G8" s="24" t="s">
        <v>64</v>
      </c>
      <c r="I8" s="0" t="str">
        <f aca="false">IF(A8=B8,"False","True")</f>
        <v>False</v>
      </c>
    </row>
    <row r="9" customFormat="false" ht="15" hidden="false" customHeight="false" outlineLevel="0" collapsed="false">
      <c r="A9" s="22" t="s">
        <v>77</v>
      </c>
      <c r="B9" s="23" t="s">
        <v>78</v>
      </c>
      <c r="C9" s="23" t="s">
        <v>79</v>
      </c>
      <c r="D9" s="23" t="n">
        <v>1</v>
      </c>
      <c r="E9" s="24"/>
      <c r="F9" s="24" t="s">
        <v>70</v>
      </c>
      <c r="G9" s="24" t="s">
        <v>64</v>
      </c>
      <c r="I9" s="0" t="n">
        <f aca="false">TRUE()</f>
        <v>1</v>
      </c>
    </row>
    <row r="10" customFormat="false" ht="15" hidden="false" customHeight="false" outlineLevel="0" collapsed="false">
      <c r="A10" s="22" t="s">
        <v>80</v>
      </c>
      <c r="B10" s="24" t="s">
        <v>81</v>
      </c>
      <c r="C10" s="23" t="str">
        <f aca="false">LOWER(IF(ISBLANK(B10),LOWER(SUBSTITUTE(SUBSTITUTE(SUBSTITUTE(A10,".",""),"-","_")," ","_")),B10))</f>
        <v>finish</v>
      </c>
      <c r="D10" s="23" t="n">
        <v>1</v>
      </c>
      <c r="E10" s="24"/>
      <c r="F10" s="24" t="s">
        <v>70</v>
      </c>
      <c r="G10" s="24" t="s">
        <v>64</v>
      </c>
      <c r="H10" s="0" t="n">
        <f aca="false">TRUE()</f>
        <v>1</v>
      </c>
      <c r="I10" s="0" t="str">
        <f aca="false">IF(A10=B10,"False","True")</f>
        <v>False</v>
      </c>
    </row>
    <row r="11" customFormat="false" ht="15" hidden="false" customHeight="false" outlineLevel="0" collapsed="false">
      <c r="A11" s="22" t="s">
        <v>82</v>
      </c>
      <c r="B11" s="22" t="s">
        <v>83</v>
      </c>
      <c r="C11" s="23" t="s">
        <v>84</v>
      </c>
      <c r="D11" s="23" t="n">
        <v>1</v>
      </c>
      <c r="E11" s="24"/>
      <c r="F11" s="24" t="s">
        <v>70</v>
      </c>
      <c r="G11" s="24" t="s">
        <v>64</v>
      </c>
      <c r="I11" s="0" t="n">
        <f aca="false">TRUE()</f>
        <v>1</v>
      </c>
    </row>
    <row r="12" customFormat="false" ht="15" hidden="false" customHeight="false" outlineLevel="0" collapsed="false">
      <c r="A12" s="22" t="s">
        <v>85</v>
      </c>
      <c r="B12" s="22" t="s">
        <v>86</v>
      </c>
      <c r="C12" s="23" t="str">
        <f aca="false">LOWER(IF(ISBLANK(B12),LOWER(SUBSTITUTE(SUBSTITUTE(SUBSTITUTE(A12,".",""),"-","_")," ","_")),B12))</f>
        <v>item_no</v>
      </c>
      <c r="D12" s="23" t="n">
        <v>0</v>
      </c>
      <c r="E12" s="24"/>
      <c r="F12" s="24" t="s">
        <v>70</v>
      </c>
      <c r="G12" s="24" t="s">
        <v>64</v>
      </c>
      <c r="I12" s="0" t="n">
        <f aca="false">TRUE()</f>
        <v>1</v>
      </c>
    </row>
    <row r="13" customFormat="false" ht="15" hidden="false" customHeight="false" outlineLevel="0" collapsed="false">
      <c r="A13" s="22" t="s">
        <v>87</v>
      </c>
      <c r="B13" s="22" t="s">
        <v>88</v>
      </c>
      <c r="C13" s="23" t="str">
        <f aca="false">LOWER(IF(ISBLANK(B13),LOWER(SUBSTITUTE(SUBSTITUTE(SUBSTITUTE(A13,".",""),"-","_")," ","_")),B13))</f>
        <v>link</v>
      </c>
      <c r="D13" s="23" t="n">
        <v>1</v>
      </c>
      <c r="E13" s="24"/>
      <c r="F13" s="24" t="s">
        <v>63</v>
      </c>
      <c r="G13" s="24" t="s">
        <v>64</v>
      </c>
      <c r="I13" s="0" t="n">
        <f aca="false">TRUE()</f>
        <v>1</v>
      </c>
    </row>
    <row r="14" customFormat="false" ht="15" hidden="false" customHeight="false" outlineLevel="0" collapsed="false">
      <c r="A14" s="22" t="s">
        <v>89</v>
      </c>
      <c r="B14" s="24" t="s">
        <v>89</v>
      </c>
      <c r="C14" s="23" t="str">
        <f aca="false">LOWER(IF(ISBLANK(B14),LOWER(SUBSTITUTE(SUBSTITUTE(SUBSTITUTE(A14,".",""),"-","_")," ","_")),B14))</f>
        <v>mass</v>
      </c>
      <c r="D14" s="23" t="n">
        <v>1</v>
      </c>
      <c r="E14" s="24"/>
      <c r="F14" s="24" t="s">
        <v>70</v>
      </c>
      <c r="G14" s="24" t="s">
        <v>90</v>
      </c>
      <c r="I14" s="0" t="str">
        <f aca="false">IF(A14=B14,"False","True")</f>
        <v>False</v>
      </c>
    </row>
    <row r="15" customFormat="false" ht="15" hidden="false" customHeight="false" outlineLevel="0" collapsed="false">
      <c r="A15" s="22" t="s">
        <v>91</v>
      </c>
      <c r="B15" s="24" t="s">
        <v>92</v>
      </c>
      <c r="C15" s="23" t="str">
        <f aca="false">LOWER(IF(ISBLANK(B15),LOWER(SUBSTITUTE(SUBSTITUTE(SUBSTITUTE(A15,".",""),"-","_")," ","_")),B15))</f>
        <v>material</v>
      </c>
      <c r="D15" s="23" t="n">
        <v>1</v>
      </c>
      <c r="E15" s="24"/>
      <c r="F15" s="24" t="s">
        <v>70</v>
      </c>
      <c r="G15" s="24" t="s">
        <v>64</v>
      </c>
      <c r="I15" s="0" t="str">
        <f aca="false">IF(A15=B15,"False","True")</f>
        <v>False</v>
      </c>
    </row>
    <row r="16" customFormat="false" ht="15" hidden="false" customHeight="false" outlineLevel="0" collapsed="false">
      <c r="A16" s="25" t="s">
        <v>93</v>
      </c>
      <c r="B16" s="26" t="s">
        <v>94</v>
      </c>
      <c r="C16" s="23" t="str">
        <f aca="false">LOWER(IF(ISBLANK(B16),LOWER(SUBSTITUTE(SUBSTITUTE(SUBSTITUTE(A16,".",""),"-","_")," ","_")),B16))</f>
        <v>oem</v>
      </c>
      <c r="D16" s="23" t="n">
        <v>1</v>
      </c>
      <c r="E16" s="24"/>
      <c r="F16" s="24" t="s">
        <v>63</v>
      </c>
      <c r="G16" s="24" t="s">
        <v>64</v>
      </c>
      <c r="I16" s="0" t="n">
        <f aca="false">TRUE()</f>
        <v>1</v>
      </c>
    </row>
    <row r="17" customFormat="false" ht="15" hidden="false" customHeight="false" outlineLevel="0" collapsed="false">
      <c r="A17" s="22" t="s">
        <v>95</v>
      </c>
      <c r="B17" s="24" t="s">
        <v>96</v>
      </c>
      <c r="C17" s="23" t="str">
        <f aca="false">LOWER(IF(ISBLANK(B17),LOWER(SUBSTITUTE(SUBSTITUTE(SUBSTITUTE(A17,".",""),"-","_")," ","_")),B17))</f>
        <v>partnumber</v>
      </c>
      <c r="D17" s="23" t="n">
        <v>1</v>
      </c>
      <c r="E17" s="24"/>
      <c r="F17" s="24" t="s">
        <v>70</v>
      </c>
      <c r="G17" s="24" t="s">
        <v>64</v>
      </c>
      <c r="I17" s="0" t="n">
        <f aca="false">TRUE()</f>
        <v>1</v>
      </c>
    </row>
    <row r="18" customFormat="false" ht="15" hidden="false" customHeight="false" outlineLevel="0" collapsed="false">
      <c r="A18" s="22" t="s">
        <v>0</v>
      </c>
      <c r="B18" s="24" t="s">
        <v>0</v>
      </c>
      <c r="C18" s="23" t="str">
        <f aca="false">LOWER(IF(ISBLANK(B18),LOWER(SUBSTITUTE(SUBSTITUTE(SUBSTITUTE(A18,".",""),"-","_")," ","_")),B18))</f>
        <v>process</v>
      </c>
      <c r="D18" s="23" t="n">
        <v>1</v>
      </c>
      <c r="E18" s="24"/>
      <c r="F18" s="24" t="s">
        <v>70</v>
      </c>
      <c r="G18" s="24" t="s">
        <v>64</v>
      </c>
      <c r="H18" s="0" t="n">
        <f aca="false">TRUE()</f>
        <v>1</v>
      </c>
      <c r="I18" s="0" t="n">
        <f aca="false">TRUE()</f>
        <v>1</v>
      </c>
    </row>
    <row r="19" customFormat="false" ht="15" hidden="false" customHeight="false" outlineLevel="0" collapsed="false">
      <c r="A19" s="22" t="s">
        <v>97</v>
      </c>
      <c r="B19" s="23" t="s">
        <v>97</v>
      </c>
      <c r="C19" s="23" t="str">
        <f aca="false">LOWER(IF(ISBLANK(B19),LOWER(SUBSTITUTE(SUBSTITUTE(SUBSTITUTE(A19,".",""),"-","_")," ","_")),B19))</f>
        <v>process2</v>
      </c>
      <c r="D19" s="23" t="n">
        <v>1</v>
      </c>
      <c r="E19" s="24"/>
      <c r="F19" s="24" t="s">
        <v>70</v>
      </c>
      <c r="G19" s="24" t="s">
        <v>64</v>
      </c>
      <c r="H19" s="0" t="n">
        <f aca="false">TRUE()</f>
        <v>1</v>
      </c>
      <c r="I19" s="0" t="n">
        <f aca="false">TRUE()</f>
        <v>1</v>
      </c>
    </row>
    <row r="20" customFormat="false" ht="15" hidden="false" customHeight="false" outlineLevel="0" collapsed="false">
      <c r="A20" s="22" t="s">
        <v>98</v>
      </c>
      <c r="B20" s="23" t="s">
        <v>98</v>
      </c>
      <c r="C20" s="23" t="str">
        <f aca="false">LOWER(IF(ISBLANK(B20),LOWER(SUBSTITUTE(SUBSTITUTE(SUBSTITUTE(A20,".",""),"-","_")," ","_")),B20))</f>
        <v>process3</v>
      </c>
      <c r="D20" s="23" t="n">
        <v>1</v>
      </c>
      <c r="E20" s="24"/>
      <c r="F20" s="24" t="s">
        <v>70</v>
      </c>
      <c r="G20" s="24" t="s">
        <v>64</v>
      </c>
      <c r="H20" s="0" t="n">
        <f aca="false">TRUE()</f>
        <v>1</v>
      </c>
      <c r="I20" s="0" t="n">
        <f aca="false">TRUE()</f>
        <v>1</v>
      </c>
    </row>
    <row r="21" customFormat="false" ht="15" hidden="false" customHeight="false" outlineLevel="0" collapsed="false">
      <c r="A21" s="22" t="s">
        <v>99</v>
      </c>
      <c r="B21" s="24" t="s">
        <v>100</v>
      </c>
      <c r="C21" s="23" t="str">
        <f aca="false">LOWER(IF(ISBLANK(B21),LOWER(SUBSTITUTE(SUBSTITUTE(SUBSTITUTE(A21,".",""),"-","_")," ","_")),B21))</f>
        <v>qty</v>
      </c>
      <c r="D21" s="23" t="n">
        <v>0</v>
      </c>
      <c r="E21" s="24"/>
      <c r="F21" s="24" t="s">
        <v>70</v>
      </c>
      <c r="G21" s="24" t="s">
        <v>101</v>
      </c>
      <c r="I21" s="0" t="str">
        <f aca="false">IF(A21=B21,"False","True")</f>
        <v>False</v>
      </c>
    </row>
    <row r="22" customFormat="false" ht="15" hidden="false" customHeight="false" outlineLevel="0" collapsed="false">
      <c r="A22" s="22" t="s">
        <v>102</v>
      </c>
      <c r="B22" s="23" t="s">
        <v>102</v>
      </c>
      <c r="C22" s="23" t="str">
        <f aca="false">LOWER(IF(ISBLANK(B22),LOWER(SUBSTITUTE(SUBSTITUTE(SUBSTITUTE(A22,".",""),"-","_")," ","_")),B22))</f>
        <v>revision</v>
      </c>
      <c r="D22" s="23" t="n">
        <v>1</v>
      </c>
      <c r="E22" s="23"/>
      <c r="F22" s="24" t="s">
        <v>70</v>
      </c>
      <c r="G22" s="24" t="s">
        <v>64</v>
      </c>
      <c r="I22" s="0" t="str">
        <f aca="false">IF(A22=B22,"False","True")</f>
        <v>False</v>
      </c>
    </row>
    <row r="23" customFormat="false" ht="15" hidden="false" customHeight="false" outlineLevel="0" collapsed="false">
      <c r="A23" s="22" t="s">
        <v>103</v>
      </c>
      <c r="B23" s="23" t="s">
        <v>104</v>
      </c>
      <c r="C23" s="23" t="str">
        <f aca="false">LOWER(IF(ISBLANK(B23),LOWER(SUBSTITUTE(SUBSTITUTE(SUBSTITUTE(A23,".",""),"-","_")," ","_")),B23))</f>
        <v>spare_part</v>
      </c>
      <c r="D23" s="23" t="n">
        <v>1</v>
      </c>
      <c r="E23" s="23"/>
      <c r="F23" s="24" t="s">
        <v>63</v>
      </c>
      <c r="G23" s="24" t="s">
        <v>105</v>
      </c>
      <c r="I23" s="0" t="str">
        <f aca="false">IF(A23=B23,"False","True")</f>
        <v>False</v>
      </c>
    </row>
    <row r="24" customFormat="false" ht="15" hidden="false" customHeight="false" outlineLevel="0" collapsed="false">
      <c r="A24" s="22" t="s">
        <v>106</v>
      </c>
      <c r="B24" s="24" t="s">
        <v>107</v>
      </c>
      <c r="C24" s="23" t="str">
        <f aca="false">LOWER(IF(ISBLANK(B24),LOWER(SUBSTITUTE(SUBSTITUTE(SUBSTITUTE(A24,".",""),"-","_")," ","_")),B24))</f>
        <v>supplier</v>
      </c>
      <c r="D24" s="23" t="n">
        <v>1</v>
      </c>
      <c r="E24" s="24"/>
      <c r="F24" s="24" t="s">
        <v>63</v>
      </c>
      <c r="G24" s="24" t="s">
        <v>64</v>
      </c>
      <c r="I24" s="0" t="n">
        <f aca="false">TRUE()</f>
        <v>1</v>
      </c>
    </row>
    <row r="25" customFormat="false" ht="15" hidden="false" customHeight="false" outlineLevel="0" collapsed="false">
      <c r="A25" s="25" t="s">
        <v>108</v>
      </c>
      <c r="B25" s="26" t="s">
        <v>109</v>
      </c>
      <c r="C25" s="23" t="str">
        <f aca="false">LOWER(IF(ISBLANK(B25),LOWER(SUBSTITUTE(SUBSTITUTE(SUBSTITUTE(A25,".",""),"-","_")," ","_")),B25))</f>
        <v>supplier_partnumber</v>
      </c>
      <c r="D25" s="23" t="n">
        <v>1</v>
      </c>
      <c r="E25" s="24"/>
      <c r="F25" s="24" t="s">
        <v>70</v>
      </c>
      <c r="G25" s="24" t="s">
        <v>64</v>
      </c>
      <c r="I25" s="0" t="n">
        <f aca="false">TRUE()</f>
        <v>1</v>
      </c>
    </row>
    <row r="26" customFormat="false" ht="15" hidden="false" customHeight="false" outlineLevel="0" collapsed="false">
      <c r="A26" s="22" t="s">
        <v>110</v>
      </c>
      <c r="B26" s="22" t="s">
        <v>31</v>
      </c>
      <c r="C26" s="23" t="str">
        <f aca="false">LOWER(IF(ISBLANK(B26),LOWER(SUBSTITUTE(SUBSTITUTE(SUBSTITUTE(A26,".",""),"-","_")," ","_")),B26))</f>
        <v>thickness</v>
      </c>
      <c r="D26" s="23" t="n">
        <v>1</v>
      </c>
      <c r="E26" s="24"/>
      <c r="F26" s="24" t="s">
        <v>70</v>
      </c>
      <c r="G26" s="24" t="s">
        <v>90</v>
      </c>
      <c r="I26" s="0" t="n">
        <f aca="false">TRUE()</f>
        <v>1</v>
      </c>
    </row>
    <row r="27" customFormat="false" ht="15" hidden="false" customHeight="false" outlineLevel="0" collapsed="false">
      <c r="A27" s="22" t="s">
        <v>111</v>
      </c>
      <c r="B27" s="23" t="s">
        <v>112</v>
      </c>
      <c r="C27" s="23" t="str">
        <f aca="false">LOWER(IF(ISBLANK(B27),LOWER(SUBSTITUTE(SUBSTITUTE(SUBSTITUTE(A27,".",""),"-","_")," ","_")),B27))</f>
        <v>treatment</v>
      </c>
      <c r="D27" s="23" t="n">
        <v>1</v>
      </c>
      <c r="E27" s="24"/>
      <c r="F27" s="24" t="s">
        <v>63</v>
      </c>
      <c r="G27" s="24" t="s">
        <v>64</v>
      </c>
      <c r="H27" s="0" t="n">
        <f aca="false">TRUE()</f>
        <v>1</v>
      </c>
      <c r="I27" s="0" t="n">
        <f aca="false">TRUE()</f>
        <v>1</v>
      </c>
    </row>
    <row r="28" customFormat="false" ht="15" hidden="false" customHeight="false" outlineLevel="0" collapsed="false">
      <c r="A28" s="22" t="s">
        <v>113</v>
      </c>
      <c r="B28" s="23" t="s">
        <v>114</v>
      </c>
      <c r="C28" s="23" t="str">
        <f aca="false">LOWER(IF(ISBLANK(B28),LOWER(SUBSTITUTE(SUBSTITUTE(SUBSTITUTE(A28,".",""),"-","_")," ","_")),B28))</f>
        <v>colour</v>
      </c>
      <c r="D28" s="23" t="n">
        <v>1</v>
      </c>
      <c r="E28" s="24"/>
      <c r="F28" s="24" t="s">
        <v>63</v>
      </c>
      <c r="G28" s="24" t="s">
        <v>64</v>
      </c>
      <c r="H28" s="0" t="n">
        <f aca="false">TRUE()</f>
        <v>1</v>
      </c>
      <c r="I28" s="0" t="n">
        <f aca="false">TRUE()</f>
        <v>1</v>
      </c>
    </row>
    <row r="29" customFormat="false" ht="15" hidden="false" customHeight="false" outlineLevel="0" collapsed="false">
      <c r="A29" s="22" t="s">
        <v>115</v>
      </c>
      <c r="B29" s="24" t="s">
        <v>116</v>
      </c>
      <c r="C29" s="23" t="str">
        <f aca="false">LOWER(IF(ISBLANK(B29),LOWER(SUBSTITUTE(SUBSTITUTE(SUBSTITUTE(A29,".",""),"-","_")," ","_")),B29))</f>
        <v>notes</v>
      </c>
      <c r="D29" s="23" t="n">
        <v>1</v>
      </c>
      <c r="E29" s="24"/>
      <c r="F29" s="24" t="s">
        <v>70</v>
      </c>
      <c r="G29" s="24" t="s">
        <v>64</v>
      </c>
      <c r="I29" s="0" t="str">
        <f aca="false">IF(A29=B29,"False","True")</f>
        <v>True</v>
      </c>
    </row>
    <row r="30" customFormat="false" ht="15" hidden="false" customHeight="false" outlineLevel="0" collapsed="false">
      <c r="A30" s="27" t="s">
        <v>117</v>
      </c>
      <c r="B30" s="23" t="s">
        <v>118</v>
      </c>
      <c r="C30" s="23" t="str">
        <f aca="false">LOWER(IF(ISBLANK(B30),LOWER(SUBSTITUTE(SUBSTITUTE(SUBSTITUTE(A30,".",""),"-","_")," ","_")),B30))</f>
        <v>asset</v>
      </c>
      <c r="D30" s="23" t="n">
        <v>1</v>
      </c>
      <c r="E30" s="24"/>
      <c r="F30" s="24" t="s">
        <v>70</v>
      </c>
      <c r="G30" s="24" t="s">
        <v>64</v>
      </c>
      <c r="I30" s="0" t="str">
        <f aca="false">IF(A30=B30,"False","True")</f>
        <v>False</v>
      </c>
    </row>
  </sheetData>
  <autoFilter ref="A1:I28">
    <sortState ref="A2:I28">
      <sortCondition ref="A2:A28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D20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AC2" activeCellId="0" sqref="AC2"/>
    </sheetView>
  </sheetViews>
  <sheetFormatPr defaultColWidth="4.8671875" defaultRowHeight="15" zeroHeight="false" outlineLevelRow="0" outlineLevelCol="0"/>
  <cols>
    <col collapsed="false" customWidth="true" hidden="false" outlineLevel="0" max="1" min="1" style="5" width="19"/>
  </cols>
  <sheetData>
    <row r="1" s="1" customFormat="true" ht="78.75" hidden="false" customHeight="true" outlineLevel="0" collapsed="false">
      <c r="A1" s="28" t="str">
        <f aca="false" t="array" ref="A1:A20">process!$A$1:A20</f>
        <v>process</v>
      </c>
      <c r="B1" s="29" t="str">
        <f aca="false" t="array" ref="B1:AD1">TRANSPOSE(property!$C$2:C30)</f>
        <v>approved</v>
      </c>
      <c r="C1" s="29" t="str">
        <v>author</v>
      </c>
      <c r="D1" s="29" t="str">
        <v>category</v>
      </c>
      <c r="E1" s="29" t="str">
        <v>configuration</v>
      </c>
      <c r="F1" s="29" t="str">
        <v>datasheet</v>
      </c>
      <c r="G1" s="29" t="str">
        <v>description</v>
      </c>
      <c r="H1" s="29" t="str">
        <v>drawndate</v>
      </c>
      <c r="I1" s="29" t="str">
        <v>file</v>
      </c>
      <c r="J1" s="29" t="str">
        <v>finish</v>
      </c>
      <c r="K1" s="29" t="str">
        <v>folder</v>
      </c>
      <c r="L1" s="29" t="str">
        <v>item_no</v>
      </c>
      <c r="M1" s="29" t="str">
        <v>link</v>
      </c>
      <c r="N1" s="29" t="str">
        <v>mass</v>
      </c>
      <c r="O1" s="29" t="str">
        <v>material</v>
      </c>
      <c r="P1" s="29" t="str">
        <v>oem</v>
      </c>
      <c r="Q1" s="29" t="str">
        <v>partnumber</v>
      </c>
      <c r="R1" s="29" t="str">
        <v>process</v>
      </c>
      <c r="S1" s="29" t="str">
        <v>process2</v>
      </c>
      <c r="T1" s="29" t="str">
        <v>process3</v>
      </c>
      <c r="U1" s="29" t="str">
        <v>qty</v>
      </c>
      <c r="V1" s="29" t="str">
        <v>revision</v>
      </c>
      <c r="W1" s="29" t="str">
        <v>spare_part</v>
      </c>
      <c r="X1" s="29" t="str">
        <v>supplier</v>
      </c>
      <c r="Y1" s="29" t="str">
        <v>supplier_partnumber</v>
      </c>
      <c r="Z1" s="29" t="str">
        <v>thickness</v>
      </c>
      <c r="AA1" s="29" t="str">
        <v>treatment</v>
      </c>
      <c r="AB1" s="29" t="str">
        <v>colour</v>
      </c>
      <c r="AC1" s="29" t="str">
        <v>notes</v>
      </c>
      <c r="AD1" s="29" t="str">
        <v>asset</v>
      </c>
    </row>
    <row r="2" customFormat="false" ht="15" hidden="false" customHeight="false" outlineLevel="0" collapsed="false">
      <c r="A2" s="30" t="str">
        <v>purchase</v>
      </c>
      <c r="B2" s="31"/>
      <c r="C2" s="31"/>
      <c r="D2" s="31" t="s">
        <v>119</v>
      </c>
      <c r="E2" s="31"/>
      <c r="F2" s="31" t="s">
        <v>120</v>
      </c>
      <c r="G2" s="31" t="s">
        <v>121</v>
      </c>
      <c r="H2" s="31"/>
      <c r="I2" s="31"/>
      <c r="J2" s="31"/>
      <c r="K2" s="31"/>
      <c r="L2" s="31"/>
      <c r="M2" s="31" t="s">
        <v>122</v>
      </c>
      <c r="N2" s="31"/>
      <c r="O2" s="31" t="s">
        <v>123</v>
      </c>
      <c r="P2" s="31" t="s">
        <v>124</v>
      </c>
      <c r="Q2" s="31" t="s">
        <v>125</v>
      </c>
      <c r="R2" s="31"/>
      <c r="S2" s="31"/>
      <c r="T2" s="31"/>
      <c r="U2" s="31" t="s">
        <v>126</v>
      </c>
      <c r="V2" s="31" t="s">
        <v>127</v>
      </c>
      <c r="W2" s="31"/>
      <c r="X2" s="31" t="s">
        <v>128</v>
      </c>
      <c r="Y2" s="31" t="s">
        <v>129</v>
      </c>
      <c r="Z2" s="31"/>
      <c r="AA2" s="31"/>
      <c r="AB2" s="31"/>
      <c r="AC2" s="31" t="s">
        <v>130</v>
      </c>
      <c r="AD2" s="31"/>
    </row>
    <row r="3" customFormat="false" ht="15" hidden="false" customHeight="false" outlineLevel="0" collapsed="false">
      <c r="A3" s="30" t="str">
        <v>machine</v>
      </c>
      <c r="B3" s="31" t="s">
        <v>131</v>
      </c>
      <c r="C3" s="31"/>
      <c r="D3" s="31"/>
      <c r="E3" s="31" t="s">
        <v>131</v>
      </c>
      <c r="F3" s="31"/>
      <c r="G3" s="31" t="s">
        <v>121</v>
      </c>
      <c r="H3" s="31" t="s">
        <v>131</v>
      </c>
      <c r="I3" s="31"/>
      <c r="J3" s="31" t="s">
        <v>131</v>
      </c>
      <c r="K3" s="31"/>
      <c r="L3" s="31"/>
      <c r="M3" s="31"/>
      <c r="N3" s="31" t="s">
        <v>131</v>
      </c>
      <c r="O3" s="31" t="s">
        <v>131</v>
      </c>
      <c r="P3" s="31"/>
      <c r="Q3" s="31" t="s">
        <v>125</v>
      </c>
      <c r="R3" s="31"/>
      <c r="S3" s="31"/>
      <c r="T3" s="31"/>
      <c r="U3" s="31" t="s">
        <v>126</v>
      </c>
      <c r="V3" s="31" t="s">
        <v>127</v>
      </c>
      <c r="W3" s="31"/>
      <c r="X3" s="31"/>
      <c r="Y3" s="31"/>
      <c r="Z3" s="31"/>
      <c r="AA3" s="31" t="s">
        <v>131</v>
      </c>
      <c r="AB3" s="31"/>
      <c r="AC3" s="31" t="s">
        <v>131</v>
      </c>
      <c r="AD3" s="31"/>
    </row>
    <row r="4" customFormat="false" ht="15" hidden="false" customHeight="false" outlineLevel="0" collapsed="false">
      <c r="A4" s="30" t="str">
        <v>welding</v>
      </c>
      <c r="B4" s="31" t="s">
        <v>131</v>
      </c>
      <c r="C4" s="31"/>
      <c r="D4" s="31"/>
      <c r="E4" s="31" t="s">
        <v>131</v>
      </c>
      <c r="F4" s="31"/>
      <c r="G4" s="31" t="s">
        <v>121</v>
      </c>
      <c r="H4" s="31" t="s">
        <v>131</v>
      </c>
      <c r="I4" s="31"/>
      <c r="J4" s="31" t="s">
        <v>131</v>
      </c>
      <c r="K4" s="31"/>
      <c r="L4" s="31"/>
      <c r="M4" s="31"/>
      <c r="N4" s="31" t="s">
        <v>131</v>
      </c>
      <c r="O4" s="31"/>
      <c r="P4" s="31"/>
      <c r="Q4" s="31" t="s">
        <v>125</v>
      </c>
      <c r="R4" s="31"/>
      <c r="S4" s="31"/>
      <c r="T4" s="31"/>
      <c r="U4" s="31" t="s">
        <v>126</v>
      </c>
      <c r="V4" s="31" t="s">
        <v>127</v>
      </c>
      <c r="W4" s="31"/>
      <c r="X4" s="31"/>
      <c r="Y4" s="31"/>
      <c r="Z4" s="31"/>
      <c r="AA4" s="31" t="s">
        <v>131</v>
      </c>
      <c r="AB4" s="31"/>
      <c r="AC4" s="31" t="s">
        <v>131</v>
      </c>
      <c r="AD4" s="31"/>
    </row>
    <row r="5" customFormat="false" ht="15" hidden="false" customHeight="false" outlineLevel="0" collapsed="false">
      <c r="A5" s="30" t="str">
        <v>folding</v>
      </c>
      <c r="B5" s="31" t="s">
        <v>131</v>
      </c>
      <c r="C5" s="31"/>
      <c r="D5" s="31"/>
      <c r="E5" s="31"/>
      <c r="F5" s="31"/>
      <c r="G5" s="31" t="s">
        <v>121</v>
      </c>
      <c r="H5" s="31" t="s">
        <v>131</v>
      </c>
      <c r="I5" s="31"/>
      <c r="J5" s="31" t="s">
        <v>131</v>
      </c>
      <c r="K5" s="31"/>
      <c r="L5" s="31"/>
      <c r="M5" s="31"/>
      <c r="N5" s="31" t="s">
        <v>131</v>
      </c>
      <c r="O5" s="31" t="s">
        <v>131</v>
      </c>
      <c r="P5" s="31"/>
      <c r="Q5" s="31" t="s">
        <v>125</v>
      </c>
      <c r="R5" s="31"/>
      <c r="S5" s="31"/>
      <c r="T5" s="31"/>
      <c r="U5" s="31" t="s">
        <v>126</v>
      </c>
      <c r="V5" s="31" t="s">
        <v>127</v>
      </c>
      <c r="W5" s="31"/>
      <c r="X5" s="31"/>
      <c r="Y5" s="31"/>
      <c r="Z5" s="31" t="s">
        <v>131</v>
      </c>
      <c r="AA5" s="31"/>
      <c r="AB5" s="31"/>
      <c r="AC5" s="31"/>
      <c r="AD5" s="31"/>
    </row>
    <row r="6" customFormat="false" ht="15" hidden="false" customHeight="false" outlineLevel="0" collapsed="false">
      <c r="A6" s="30" t="str">
        <v>rolling</v>
      </c>
      <c r="B6" s="31" t="s">
        <v>131</v>
      </c>
      <c r="C6" s="31"/>
      <c r="D6" s="31"/>
      <c r="E6" s="31"/>
      <c r="F6" s="31"/>
      <c r="G6" s="31" t="s">
        <v>121</v>
      </c>
      <c r="H6" s="31" t="s">
        <v>131</v>
      </c>
      <c r="I6" s="31"/>
      <c r="J6" s="31" t="s">
        <v>131</v>
      </c>
      <c r="K6" s="31"/>
      <c r="L6" s="31"/>
      <c r="M6" s="31"/>
      <c r="N6" s="31" t="s">
        <v>131</v>
      </c>
      <c r="O6" s="31" t="s">
        <v>131</v>
      </c>
      <c r="P6" s="31"/>
      <c r="Q6" s="31" t="s">
        <v>125</v>
      </c>
      <c r="R6" s="31"/>
      <c r="S6" s="31"/>
      <c r="T6" s="31"/>
      <c r="U6" s="31" t="s">
        <v>126</v>
      </c>
      <c r="V6" s="31" t="s">
        <v>127</v>
      </c>
      <c r="W6" s="31"/>
      <c r="X6" s="31"/>
      <c r="Y6" s="31"/>
      <c r="Z6" s="31" t="s">
        <v>131</v>
      </c>
      <c r="AA6" s="31"/>
      <c r="AB6" s="31"/>
      <c r="AC6" s="31"/>
      <c r="AD6" s="31"/>
    </row>
    <row r="7" customFormat="false" ht="15" hidden="false" customHeight="false" outlineLevel="0" collapsed="false">
      <c r="A7" s="30" t="str">
        <v>casting</v>
      </c>
      <c r="B7" s="31" t="s">
        <v>131</v>
      </c>
      <c r="C7" s="31"/>
      <c r="D7" s="31"/>
      <c r="E7" s="31"/>
      <c r="F7" s="31"/>
      <c r="G7" s="31" t="s">
        <v>121</v>
      </c>
      <c r="H7" s="31" t="s">
        <v>131</v>
      </c>
      <c r="I7" s="31"/>
      <c r="J7" s="31" t="s">
        <v>131</v>
      </c>
      <c r="K7" s="31"/>
      <c r="L7" s="31"/>
      <c r="M7" s="31"/>
      <c r="N7" s="31" t="s">
        <v>131</v>
      </c>
      <c r="O7" s="31" t="s">
        <v>131</v>
      </c>
      <c r="P7" s="31"/>
      <c r="Q7" s="31" t="s">
        <v>125</v>
      </c>
      <c r="R7" s="31"/>
      <c r="S7" s="31"/>
      <c r="T7" s="31"/>
      <c r="U7" s="31" t="s">
        <v>126</v>
      </c>
      <c r="V7" s="31" t="s">
        <v>127</v>
      </c>
      <c r="W7" s="31"/>
      <c r="X7" s="31"/>
      <c r="Y7" s="31"/>
      <c r="Z7" s="31"/>
      <c r="AA7" s="31" t="s">
        <v>131</v>
      </c>
      <c r="AB7" s="31"/>
      <c r="AC7" s="31"/>
      <c r="AD7" s="31"/>
    </row>
    <row r="8" customFormat="false" ht="15" hidden="false" customHeight="false" outlineLevel="0" collapsed="false">
      <c r="A8" s="30" t="str">
        <v>lasercut</v>
      </c>
      <c r="B8" s="31" t="s">
        <v>131</v>
      </c>
      <c r="C8" s="31"/>
      <c r="D8" s="31"/>
      <c r="E8" s="31"/>
      <c r="F8" s="31"/>
      <c r="G8" s="31" t="s">
        <v>121</v>
      </c>
      <c r="H8" s="31" t="s">
        <v>131</v>
      </c>
      <c r="I8" s="31"/>
      <c r="J8" s="31" t="s">
        <v>131</v>
      </c>
      <c r="K8" s="31"/>
      <c r="L8" s="31"/>
      <c r="M8" s="31"/>
      <c r="N8" s="31" t="s">
        <v>131</v>
      </c>
      <c r="O8" s="31" t="s">
        <v>131</v>
      </c>
      <c r="P8" s="31"/>
      <c r="Q8" s="31" t="s">
        <v>125</v>
      </c>
      <c r="R8" s="31"/>
      <c r="S8" s="31"/>
      <c r="T8" s="31"/>
      <c r="U8" s="31" t="s">
        <v>126</v>
      </c>
      <c r="V8" s="31" t="s">
        <v>127</v>
      </c>
      <c r="W8" s="31"/>
      <c r="X8" s="31"/>
      <c r="Y8" s="31"/>
      <c r="Z8" s="31" t="s">
        <v>131</v>
      </c>
      <c r="AA8" s="31"/>
      <c r="AB8" s="31"/>
      <c r="AC8" s="31"/>
      <c r="AD8" s="31"/>
    </row>
    <row r="9" customFormat="false" ht="15" hidden="false" customHeight="false" outlineLevel="0" collapsed="false">
      <c r="A9" s="30" t="str">
        <v>profile cut</v>
      </c>
      <c r="B9" s="31" t="s">
        <v>131</v>
      </c>
      <c r="C9" s="31"/>
      <c r="D9" s="31"/>
      <c r="E9" s="31"/>
      <c r="F9" s="31"/>
      <c r="G9" s="31" t="s">
        <v>121</v>
      </c>
      <c r="H9" s="31" t="s">
        <v>131</v>
      </c>
      <c r="I9" s="31"/>
      <c r="J9" s="31" t="s">
        <v>131</v>
      </c>
      <c r="K9" s="31"/>
      <c r="L9" s="31"/>
      <c r="M9" s="31"/>
      <c r="N9" s="31" t="s">
        <v>131</v>
      </c>
      <c r="O9" s="31" t="s">
        <v>131</v>
      </c>
      <c r="P9" s="31"/>
      <c r="Q9" s="31" t="s">
        <v>125</v>
      </c>
      <c r="R9" s="31"/>
      <c r="S9" s="31"/>
      <c r="T9" s="31"/>
      <c r="U9" s="31" t="s">
        <v>126</v>
      </c>
      <c r="V9" s="31" t="s">
        <v>127</v>
      </c>
      <c r="W9" s="31"/>
      <c r="X9" s="31"/>
      <c r="Y9" s="31"/>
      <c r="Z9" s="31" t="s">
        <v>131</v>
      </c>
      <c r="AA9" s="31"/>
      <c r="AB9" s="31"/>
      <c r="AC9" s="31"/>
      <c r="AD9" s="31"/>
    </row>
    <row r="10" customFormat="false" ht="15" hidden="false" customHeight="false" outlineLevel="0" collapsed="false">
      <c r="A10" s="30" t="str">
        <v>3d laser</v>
      </c>
      <c r="B10" s="31" t="s">
        <v>131</v>
      </c>
      <c r="C10" s="31"/>
      <c r="D10" s="31"/>
      <c r="E10" s="31"/>
      <c r="F10" s="31"/>
      <c r="G10" s="31" t="s">
        <v>121</v>
      </c>
      <c r="H10" s="31" t="s">
        <v>131</v>
      </c>
      <c r="I10" s="31"/>
      <c r="J10" s="31" t="s">
        <v>131</v>
      </c>
      <c r="K10" s="31"/>
      <c r="L10" s="31"/>
      <c r="M10" s="31"/>
      <c r="N10" s="31" t="s">
        <v>131</v>
      </c>
      <c r="O10" s="31" t="s">
        <v>131</v>
      </c>
      <c r="P10" s="31"/>
      <c r="Q10" s="31" t="s">
        <v>125</v>
      </c>
      <c r="R10" s="31"/>
      <c r="S10" s="31"/>
      <c r="T10" s="31"/>
      <c r="U10" s="31" t="s">
        <v>126</v>
      </c>
      <c r="V10" s="31" t="s">
        <v>127</v>
      </c>
      <c r="W10" s="31"/>
      <c r="X10" s="31"/>
      <c r="Y10" s="31"/>
      <c r="Z10" s="31"/>
      <c r="AA10" s="31"/>
      <c r="AB10" s="31"/>
      <c r="AC10" s="31"/>
      <c r="AD10" s="31"/>
    </row>
    <row r="11" customFormat="false" ht="15" hidden="false" customHeight="false" outlineLevel="0" collapsed="false">
      <c r="A11" s="30" t="str">
        <v>cutting</v>
      </c>
      <c r="B11" s="31" t="s">
        <v>131</v>
      </c>
      <c r="C11" s="31"/>
      <c r="D11" s="31"/>
      <c r="E11" s="31"/>
      <c r="F11" s="31"/>
      <c r="G11" s="31" t="s">
        <v>121</v>
      </c>
      <c r="H11" s="31" t="s">
        <v>131</v>
      </c>
      <c r="I11" s="31"/>
      <c r="J11" s="31" t="s">
        <v>131</v>
      </c>
      <c r="K11" s="31"/>
      <c r="L11" s="31"/>
      <c r="M11" s="31"/>
      <c r="N11" s="31" t="s">
        <v>131</v>
      </c>
      <c r="O11" s="31" t="s">
        <v>131</v>
      </c>
      <c r="P11" s="31"/>
      <c r="Q11" s="31" t="s">
        <v>125</v>
      </c>
      <c r="R11" s="31"/>
      <c r="S11" s="31"/>
      <c r="T11" s="31"/>
      <c r="U11" s="31" t="s">
        <v>126</v>
      </c>
      <c r="V11" s="31" t="s">
        <v>127</v>
      </c>
      <c r="W11" s="31"/>
      <c r="X11" s="31"/>
      <c r="Y11" s="31"/>
      <c r="Z11" s="31"/>
      <c r="AA11" s="31"/>
      <c r="AB11" s="31"/>
      <c r="AC11" s="31"/>
      <c r="AD11" s="31"/>
    </row>
    <row r="12" customFormat="false" ht="15" hidden="false" customHeight="false" outlineLevel="0" collapsed="false">
      <c r="A12" s="30" t="str">
        <v>sewing</v>
      </c>
      <c r="B12" s="31" t="s">
        <v>131</v>
      </c>
      <c r="C12" s="31"/>
      <c r="D12" s="31"/>
      <c r="E12" s="31"/>
      <c r="F12" s="31"/>
      <c r="G12" s="31" t="s">
        <v>121</v>
      </c>
      <c r="H12" s="31" t="s">
        <v>131</v>
      </c>
      <c r="I12" s="31"/>
      <c r="J12" s="31" t="s">
        <v>131</v>
      </c>
      <c r="K12" s="31"/>
      <c r="L12" s="31"/>
      <c r="M12" s="31"/>
      <c r="N12" s="31" t="s">
        <v>131</v>
      </c>
      <c r="O12" s="31" t="s">
        <v>131</v>
      </c>
      <c r="P12" s="31"/>
      <c r="Q12" s="31" t="s">
        <v>125</v>
      </c>
      <c r="R12" s="31"/>
      <c r="S12" s="31"/>
      <c r="T12" s="31"/>
      <c r="U12" s="31" t="s">
        <v>126</v>
      </c>
      <c r="V12" s="31" t="s">
        <v>127</v>
      </c>
      <c r="W12" s="31"/>
      <c r="X12" s="31"/>
      <c r="Y12" s="31"/>
      <c r="Z12" s="31"/>
      <c r="AA12" s="31"/>
      <c r="AB12" s="31"/>
      <c r="AC12" s="31"/>
      <c r="AD12" s="31"/>
    </row>
    <row r="13" customFormat="false" ht="15" hidden="false" customHeight="false" outlineLevel="0" collapsed="false">
      <c r="A13" s="30" t="str">
        <v>3d print</v>
      </c>
      <c r="B13" s="31" t="s">
        <v>131</v>
      </c>
      <c r="C13" s="31"/>
      <c r="D13" s="31"/>
      <c r="E13" s="31"/>
      <c r="F13" s="31"/>
      <c r="G13" s="31" t="s">
        <v>121</v>
      </c>
      <c r="H13" s="31" t="s">
        <v>131</v>
      </c>
      <c r="I13" s="31"/>
      <c r="J13" s="31" t="s">
        <v>131</v>
      </c>
      <c r="K13" s="31"/>
      <c r="L13" s="31"/>
      <c r="M13" s="31"/>
      <c r="N13" s="31" t="s">
        <v>131</v>
      </c>
      <c r="O13" s="31" t="s">
        <v>131</v>
      </c>
      <c r="P13" s="31"/>
      <c r="Q13" s="31" t="s">
        <v>125</v>
      </c>
      <c r="R13" s="31"/>
      <c r="S13" s="31"/>
      <c r="T13" s="31"/>
      <c r="U13" s="31" t="s">
        <v>126</v>
      </c>
      <c r="V13" s="31" t="s">
        <v>127</v>
      </c>
      <c r="W13" s="31"/>
      <c r="X13" s="31"/>
      <c r="Y13" s="31"/>
      <c r="Z13" s="31"/>
      <c r="AA13" s="31"/>
      <c r="AB13" s="31"/>
      <c r="AC13" s="31"/>
      <c r="AD13" s="31"/>
    </row>
    <row r="14" customFormat="false" ht="15" hidden="false" customHeight="false" outlineLevel="0" collapsed="false">
      <c r="A14" s="30" t="str">
        <v>stud welding</v>
      </c>
      <c r="B14" s="31" t="s">
        <v>131</v>
      </c>
      <c r="C14" s="31"/>
      <c r="D14" s="31"/>
      <c r="E14" s="31"/>
      <c r="F14" s="31"/>
      <c r="G14" s="31" t="s">
        <v>121</v>
      </c>
      <c r="H14" s="31" t="s">
        <v>131</v>
      </c>
      <c r="I14" s="31"/>
      <c r="J14" s="31" t="s">
        <v>131</v>
      </c>
      <c r="K14" s="31"/>
      <c r="L14" s="31"/>
      <c r="M14" s="31"/>
      <c r="N14" s="31" t="s">
        <v>131</v>
      </c>
      <c r="O14" s="31" t="s">
        <v>131</v>
      </c>
      <c r="P14" s="31"/>
      <c r="Q14" s="31" t="s">
        <v>125</v>
      </c>
      <c r="R14" s="31"/>
      <c r="S14" s="31"/>
      <c r="T14" s="31"/>
      <c r="U14" s="31" t="s">
        <v>126</v>
      </c>
      <c r="V14" s="31" t="s">
        <v>127</v>
      </c>
      <c r="W14" s="31"/>
      <c r="X14" s="31"/>
      <c r="Y14" s="31"/>
      <c r="Z14" s="31"/>
      <c r="AA14" s="31"/>
      <c r="AB14" s="31"/>
      <c r="AC14" s="31"/>
      <c r="AD14" s="31"/>
    </row>
    <row r="15" customFormat="false" ht="15" hidden="false" customHeight="false" outlineLevel="0" collapsed="false">
      <c r="A15" s="30" t="str">
        <v>paint</v>
      </c>
      <c r="B15" s="31" t="s">
        <v>131</v>
      </c>
      <c r="C15" s="31"/>
      <c r="D15" s="31"/>
      <c r="E15" s="31"/>
      <c r="F15" s="31"/>
      <c r="G15" s="31" t="s">
        <v>121</v>
      </c>
      <c r="H15" s="31" t="s">
        <v>131</v>
      </c>
      <c r="I15" s="31"/>
      <c r="J15" s="31" t="s">
        <v>131</v>
      </c>
      <c r="K15" s="31"/>
      <c r="L15" s="31"/>
      <c r="M15" s="31"/>
      <c r="N15" s="31" t="s">
        <v>131</v>
      </c>
      <c r="O15" s="31"/>
      <c r="P15" s="31"/>
      <c r="Q15" s="31" t="s">
        <v>125</v>
      </c>
      <c r="R15" s="31"/>
      <c r="S15" s="31"/>
      <c r="T15" s="31"/>
      <c r="U15" s="31" t="s">
        <v>126</v>
      </c>
      <c r="V15" s="31" t="s">
        <v>127</v>
      </c>
      <c r="W15" s="31"/>
      <c r="X15" s="31"/>
      <c r="Y15" s="31"/>
      <c r="Z15" s="31"/>
      <c r="AA15" s="31"/>
      <c r="AB15" s="31" t="s">
        <v>131</v>
      </c>
      <c r="AC15" s="31"/>
      <c r="AD15" s="31"/>
    </row>
    <row r="16" customFormat="false" ht="15" hidden="false" customHeight="false" outlineLevel="0" collapsed="false">
      <c r="A16" s="30" t="str">
        <v>aws production</v>
      </c>
      <c r="B16" s="31" t="s">
        <v>131</v>
      </c>
      <c r="C16" s="31"/>
      <c r="D16" s="31"/>
      <c r="E16" s="31"/>
      <c r="F16" s="31"/>
      <c r="G16" s="31" t="s">
        <v>121</v>
      </c>
      <c r="H16" s="31" t="s">
        <v>131</v>
      </c>
      <c r="I16" s="31"/>
      <c r="J16" s="31" t="s">
        <v>131</v>
      </c>
      <c r="K16" s="31"/>
      <c r="L16" s="31"/>
      <c r="M16" s="31"/>
      <c r="N16" s="31" t="s">
        <v>131</v>
      </c>
      <c r="O16" s="31"/>
      <c r="P16" s="31"/>
      <c r="Q16" s="31" t="s">
        <v>125</v>
      </c>
      <c r="R16" s="31"/>
      <c r="S16" s="31"/>
      <c r="T16" s="31"/>
      <c r="U16" s="31" t="s">
        <v>126</v>
      </c>
      <c r="V16" s="31" t="s">
        <v>127</v>
      </c>
      <c r="W16" s="31"/>
      <c r="X16" s="31"/>
      <c r="Y16" s="31"/>
      <c r="Z16" s="31"/>
      <c r="AA16" s="31"/>
      <c r="AB16" s="31"/>
      <c r="AC16" s="31"/>
      <c r="AD16" s="31"/>
    </row>
    <row r="17" customFormat="false" ht="15" hidden="false" customHeight="false" outlineLevel="0" collapsed="false">
      <c r="A17" s="30" t="str">
        <v>assembly</v>
      </c>
      <c r="B17" s="31" t="s">
        <v>131</v>
      </c>
      <c r="C17" s="31"/>
      <c r="D17" s="31"/>
      <c r="E17" s="31"/>
      <c r="F17" s="31"/>
      <c r="G17" s="31" t="s">
        <v>121</v>
      </c>
      <c r="H17" s="31" t="s">
        <v>131</v>
      </c>
      <c r="I17" s="31"/>
      <c r="J17" s="31" t="s">
        <v>131</v>
      </c>
      <c r="K17" s="31"/>
      <c r="L17" s="31"/>
      <c r="M17" s="31"/>
      <c r="N17" s="31" t="s">
        <v>131</v>
      </c>
      <c r="O17" s="31"/>
      <c r="P17" s="31"/>
      <c r="Q17" s="31" t="s">
        <v>125</v>
      </c>
      <c r="R17" s="31"/>
      <c r="S17" s="31"/>
      <c r="T17" s="31"/>
      <c r="U17" s="31" t="s">
        <v>126</v>
      </c>
      <c r="V17" s="31" t="s">
        <v>127</v>
      </c>
      <c r="W17" s="31"/>
      <c r="X17" s="31"/>
      <c r="Y17" s="31"/>
      <c r="Z17" s="31"/>
      <c r="AA17" s="31"/>
      <c r="AB17" s="31"/>
      <c r="AC17" s="31"/>
      <c r="AD17" s="31"/>
    </row>
    <row r="18" customFormat="false" ht="15" hidden="false" customHeight="false" outlineLevel="0" collapsed="false">
      <c r="A18" s="30" t="str">
        <v>label</v>
      </c>
      <c r="B18" s="31" t="s">
        <v>131</v>
      </c>
      <c r="C18" s="31"/>
      <c r="D18" s="31"/>
      <c r="E18" s="31"/>
      <c r="F18" s="31"/>
      <c r="G18" s="31" t="s">
        <v>121</v>
      </c>
      <c r="H18" s="31" t="s">
        <v>131</v>
      </c>
      <c r="I18" s="31"/>
      <c r="J18" s="31" t="s">
        <v>131</v>
      </c>
      <c r="K18" s="31"/>
      <c r="L18" s="31"/>
      <c r="M18" s="31"/>
      <c r="N18" s="31" t="s">
        <v>131</v>
      </c>
      <c r="O18" s="31" t="s">
        <v>131</v>
      </c>
      <c r="P18" s="31"/>
      <c r="Q18" s="31" t="s">
        <v>125</v>
      </c>
      <c r="R18" s="31"/>
      <c r="S18" s="31"/>
      <c r="T18" s="31"/>
      <c r="U18" s="31" t="s">
        <v>126</v>
      </c>
      <c r="V18" s="31" t="s">
        <v>127</v>
      </c>
      <c r="W18" s="31"/>
      <c r="X18" s="31"/>
      <c r="Y18" s="31"/>
      <c r="Z18" s="31"/>
      <c r="AA18" s="31"/>
      <c r="AB18" s="31"/>
      <c r="AC18" s="31"/>
      <c r="AD18" s="31"/>
    </row>
    <row r="19" customFormat="false" ht="15" hidden="false" customHeight="false" outlineLevel="0" collapsed="false">
      <c r="A19" s="30" t="str">
        <v>hardware</v>
      </c>
      <c r="B19" s="31"/>
      <c r="C19" s="31"/>
      <c r="D19" s="31"/>
      <c r="E19" s="31"/>
      <c r="F19" s="31"/>
      <c r="G19" s="31" t="s">
        <v>121</v>
      </c>
      <c r="H19" s="31" t="s">
        <v>131</v>
      </c>
      <c r="I19" s="31"/>
      <c r="J19" s="31" t="s">
        <v>131</v>
      </c>
      <c r="K19" s="31"/>
      <c r="L19" s="31"/>
      <c r="M19" s="31"/>
      <c r="N19" s="31" t="s">
        <v>131</v>
      </c>
      <c r="O19" s="31"/>
      <c r="P19" s="31"/>
      <c r="Q19" s="31" t="s">
        <v>125</v>
      </c>
      <c r="R19" s="31"/>
      <c r="S19" s="31"/>
      <c r="T19" s="31"/>
      <c r="U19" s="31" t="s">
        <v>126</v>
      </c>
      <c r="V19" s="31" t="s">
        <v>127</v>
      </c>
      <c r="W19" s="31"/>
      <c r="X19" s="31"/>
      <c r="Y19" s="31"/>
      <c r="Z19" s="31"/>
      <c r="AA19" s="31" t="s">
        <v>131</v>
      </c>
      <c r="AB19" s="31"/>
      <c r="AC19" s="31"/>
      <c r="AD19" s="31"/>
    </row>
    <row r="20" customFormat="false" ht="15" hidden="false" customHeight="false" outlineLevel="0" collapsed="false">
      <c r="A20" s="30" t="str">
        <v>others</v>
      </c>
      <c r="B20" s="31"/>
      <c r="C20" s="31"/>
      <c r="D20" s="31"/>
      <c r="E20" s="31"/>
      <c r="F20" s="31"/>
      <c r="G20" s="31" t="s">
        <v>121</v>
      </c>
      <c r="H20" s="31" t="s">
        <v>131</v>
      </c>
      <c r="I20" s="31"/>
      <c r="J20" s="31" t="s">
        <v>131</v>
      </c>
      <c r="K20" s="31"/>
      <c r="L20" s="31"/>
      <c r="M20" s="31"/>
      <c r="N20" s="31" t="s">
        <v>131</v>
      </c>
      <c r="O20" s="31"/>
      <c r="P20" s="31"/>
      <c r="Q20" s="31" t="s">
        <v>125</v>
      </c>
      <c r="R20" s="31"/>
      <c r="S20" s="31"/>
      <c r="T20" s="31"/>
      <c r="U20" s="31" t="s">
        <v>126</v>
      </c>
      <c r="V20" s="31" t="s">
        <v>127</v>
      </c>
      <c r="W20" s="31"/>
      <c r="X20" s="31"/>
      <c r="Y20" s="31"/>
      <c r="Z20" s="31"/>
      <c r="AA20" s="31"/>
      <c r="AB20" s="31"/>
      <c r="AC20" s="31"/>
      <c r="AD20" s="3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1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1" activeCellId="0" sqref="B11"/>
    </sheetView>
  </sheetViews>
  <sheetFormatPr defaultColWidth="8.72265625" defaultRowHeight="15" zeroHeight="false" outlineLevelRow="0" outlineLevelCol="0"/>
  <cols>
    <col collapsed="false" customWidth="true" hidden="false" outlineLevel="0" max="1" min="1" style="0" width="74"/>
    <col collapsed="false" customWidth="true" hidden="false" outlineLevel="0" max="2" min="2" style="0" width="78.85"/>
    <col collapsed="false" customWidth="true" hidden="false" outlineLevel="0" max="3" min="3" style="0" width="28.99"/>
  </cols>
  <sheetData>
    <row r="1" customFormat="false" ht="15" hidden="false" customHeight="false" outlineLevel="0" collapsed="false">
      <c r="A1" s="0" t="s">
        <v>132</v>
      </c>
      <c r="B1" s="0" t="s">
        <v>133</v>
      </c>
    </row>
    <row r="2" customFormat="false" ht="15" hidden="false" customHeight="false" outlineLevel="0" collapsed="false">
      <c r="A2" s="0" t="s">
        <v>134</v>
      </c>
      <c r="B2" s="0" t="s">
        <v>135</v>
      </c>
    </row>
    <row r="3" customFormat="false" ht="15" hidden="false" customHeight="false" outlineLevel="0" collapsed="false">
      <c r="A3" s="0" t="s">
        <v>136</v>
      </c>
      <c r="B3" s="0" t="s">
        <v>137</v>
      </c>
    </row>
    <row r="4" customFormat="false" ht="15" hidden="false" customHeight="false" outlineLevel="0" collapsed="false">
      <c r="A4" s="0" t="s">
        <v>138</v>
      </c>
      <c r="B4" s="0" t="s">
        <v>139</v>
      </c>
    </row>
    <row r="5" customFormat="false" ht="15" hidden="false" customHeight="false" outlineLevel="0" collapsed="false">
      <c r="A5" s="0" t="s">
        <v>140</v>
      </c>
      <c r="B5" s="0" t="s">
        <v>141</v>
      </c>
    </row>
    <row r="6" customFormat="false" ht="15" hidden="false" customHeight="false" outlineLevel="0" collapsed="false">
      <c r="A6" s="0" t="s">
        <v>142</v>
      </c>
      <c r="B6" s="0" t="s">
        <v>143</v>
      </c>
    </row>
    <row r="7" customFormat="false" ht="15" hidden="false" customHeight="false" outlineLevel="0" collapsed="false">
      <c r="A7" s="0" t="s">
        <v>144</v>
      </c>
      <c r="B7" s="0" t="s">
        <v>145</v>
      </c>
    </row>
    <row r="8" customFormat="false" ht="15" hidden="false" customHeight="false" outlineLevel="0" collapsed="false">
      <c r="A8" s="0" t="s">
        <v>146</v>
      </c>
      <c r="B8" s="0" t="s">
        <v>147</v>
      </c>
    </row>
    <row r="9" customFormat="false" ht="15" hidden="false" customHeight="false" outlineLevel="0" collapsed="false">
      <c r="A9" s="32" t="s">
        <v>148</v>
      </c>
      <c r="B9" s="32" t="s">
        <v>149</v>
      </c>
    </row>
    <row r="10" customFormat="false" ht="15" hidden="false" customHeight="false" outlineLevel="0" collapsed="false">
      <c r="A10" s="0" t="s">
        <v>150</v>
      </c>
      <c r="B10" s="0" t="s">
        <v>151</v>
      </c>
    </row>
    <row r="11" customFormat="false" ht="15" hidden="false" customHeight="false" outlineLevel="0" collapsed="false">
      <c r="A11" s="0" t="s">
        <v>152</v>
      </c>
      <c r="B11" s="0" t="s">
        <v>153</v>
      </c>
    </row>
    <row r="12" customFormat="false" ht="15" hidden="false" customHeight="false" outlineLevel="0" collapsed="false">
      <c r="A12" s="0" t="s">
        <v>154</v>
      </c>
      <c r="B12" s="1" t="s">
        <v>155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4:A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3" activeCellId="0" sqref="A23"/>
    </sheetView>
  </sheetViews>
  <sheetFormatPr defaultColWidth="8.72265625" defaultRowHeight="15" zeroHeight="false" outlineLevelRow="0" outlineLevelCol="0"/>
  <cols>
    <col collapsed="false" customWidth="true" hidden="false" outlineLevel="0" max="1" min="1" style="21" width="58.71"/>
  </cols>
  <sheetData>
    <row r="4" customFormat="false" ht="30" hidden="false" customHeight="false" outlineLevel="0" collapsed="false">
      <c r="A4" s="21" t="s">
        <v>156</v>
      </c>
    </row>
    <row r="5" customFormat="false" ht="30" hidden="false" customHeight="false" outlineLevel="0" collapsed="false">
      <c r="A5" s="21" t="s">
        <v>157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LibreOffice/7.3.0.3$Windows_X86_64 LibreOffice_project/0f246aa12d0eee4a0f7adcefbf7c878fc2238db3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2021-05-09T03:02:59Z</dcterms:created>
  <dc:creator>Francisco Quesada</dc:creator>
  <dc:description/>
  <dc:language>en-GB</dc:language>
  <cp:lastModifiedBy/>
  <dcterms:modified xsi:type="dcterms:W3CDTF">2022-02-26T06:58:17Z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